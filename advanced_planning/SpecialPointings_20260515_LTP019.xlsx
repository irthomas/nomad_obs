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t\Documents\PROGRAMS\nomad_obs\advanced_planning\"/>
    </mc:Choice>
  </mc:AlternateContent>
  <xr:revisionPtr revIDLastSave="0" documentId="13_ncr:1_{93E3AC6E-5207-43B2-90AC-B2C19B477D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3" i="1" l="1"/>
  <c r="J469" i="1"/>
  <c r="J465" i="1"/>
  <c r="J461" i="1"/>
  <c r="J457" i="1"/>
  <c r="J453" i="1"/>
  <c r="C389" i="1" l="1"/>
  <c r="C471" i="1"/>
  <c r="C472" i="1" s="1"/>
  <c r="C473" i="1" s="1"/>
  <c r="C451" i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50" i="1"/>
  <c r="C418" i="1"/>
  <c r="C419" i="1" s="1"/>
  <c r="C403" i="1"/>
  <c r="C404" i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02" i="1"/>
  <c r="C359" i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20" i="1" l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78" i="2"/>
  <c r="D78" i="2"/>
  <c r="D92" i="2" s="1"/>
  <c r="B78" i="2"/>
  <c r="C330" i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E92" i="2"/>
  <c r="C92" i="2"/>
  <c r="B92" i="2"/>
  <c r="E89" i="2"/>
  <c r="C89" i="2"/>
  <c r="B89" i="2"/>
  <c r="E86" i="2"/>
  <c r="C86" i="2"/>
  <c r="B86" i="2"/>
  <c r="F83" i="2"/>
  <c r="F82" i="2"/>
  <c r="F81" i="2"/>
  <c r="F80" i="2"/>
  <c r="F79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W50" i="2"/>
  <c r="V50" i="2"/>
  <c r="U50" i="2"/>
  <c r="T50" i="2"/>
  <c r="F50" i="2"/>
  <c r="W49" i="2"/>
  <c r="V49" i="2"/>
  <c r="U49" i="2"/>
  <c r="T49" i="2"/>
  <c r="F49" i="2"/>
  <c r="W48" i="2"/>
  <c r="V48" i="2"/>
  <c r="U48" i="2"/>
  <c r="T48" i="2"/>
  <c r="F48" i="2"/>
  <c r="W47" i="2"/>
  <c r="V47" i="2"/>
  <c r="U47" i="2"/>
  <c r="T47" i="2"/>
  <c r="Y47" i="2" s="1"/>
  <c r="F47" i="2"/>
  <c r="W46" i="2"/>
  <c r="V46" i="2"/>
  <c r="U46" i="2"/>
  <c r="T46" i="2"/>
  <c r="F46" i="2"/>
  <c r="W45" i="2"/>
  <c r="V45" i="2"/>
  <c r="U45" i="2"/>
  <c r="T45" i="2"/>
  <c r="F45" i="2"/>
  <c r="W44" i="2"/>
  <c r="V44" i="2"/>
  <c r="U44" i="2"/>
  <c r="T44" i="2"/>
  <c r="F44" i="2"/>
  <c r="W43" i="2"/>
  <c r="V43" i="2"/>
  <c r="U43" i="2"/>
  <c r="T43" i="2"/>
  <c r="Y43" i="2" s="1"/>
  <c r="F43" i="2"/>
  <c r="W42" i="2"/>
  <c r="V42" i="2"/>
  <c r="U42" i="2"/>
  <c r="T42" i="2"/>
  <c r="F42" i="2"/>
  <c r="W41" i="2"/>
  <c r="V41" i="2"/>
  <c r="U41" i="2"/>
  <c r="T41" i="2"/>
  <c r="Y41" i="2" s="1"/>
  <c r="Z41" i="2" s="1"/>
  <c r="F41" i="2"/>
  <c r="W40" i="2"/>
  <c r="V40" i="2"/>
  <c r="U40" i="2"/>
  <c r="T40" i="2"/>
  <c r="F40" i="2"/>
  <c r="W39" i="2"/>
  <c r="V39" i="2"/>
  <c r="U39" i="2"/>
  <c r="T39" i="2"/>
  <c r="Y39" i="2" s="1"/>
  <c r="F39" i="2"/>
  <c r="W38" i="2"/>
  <c r="V38" i="2"/>
  <c r="U38" i="2"/>
  <c r="T38" i="2"/>
  <c r="Y38" i="2" s="1"/>
  <c r="Z38" i="2" s="1"/>
  <c r="F38" i="2"/>
  <c r="W37" i="2"/>
  <c r="V37" i="2"/>
  <c r="U37" i="2"/>
  <c r="T37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78" i="2" l="1"/>
  <c r="F92" i="2" s="1"/>
  <c r="B93" i="2" s="1"/>
  <c r="D89" i="2"/>
  <c r="D86" i="2"/>
  <c r="Y50" i="2"/>
  <c r="Z50" i="2" s="1"/>
  <c r="Y48" i="2"/>
  <c r="Z48" i="2" s="1"/>
  <c r="Z43" i="2"/>
  <c r="Z39" i="2"/>
  <c r="F89" i="2"/>
  <c r="E90" i="2" s="1"/>
  <c r="F86" i="2"/>
  <c r="E87" i="2" s="1"/>
  <c r="Y44" i="2"/>
  <c r="Z44" i="2" s="1"/>
  <c r="Y46" i="2"/>
  <c r="Z46" i="2" s="1"/>
  <c r="Y37" i="2"/>
  <c r="Y93" i="2" s="1"/>
  <c r="Z93" i="2" s="1"/>
  <c r="Y40" i="2"/>
  <c r="Z40" i="2" s="1"/>
  <c r="Y42" i="2"/>
  <c r="Z42" i="2" s="1"/>
  <c r="Y45" i="2"/>
  <c r="Z45" i="2" s="1"/>
  <c r="Y49" i="2"/>
  <c r="Z49" i="2" s="1"/>
  <c r="B87" i="2" l="1"/>
  <c r="C87" i="2"/>
  <c r="D93" i="2"/>
  <c r="D87" i="2"/>
  <c r="D90" i="2"/>
  <c r="C90" i="2"/>
  <c r="B90" i="2"/>
  <c r="E93" i="2"/>
  <c r="C93" i="2"/>
  <c r="Z37" i="2"/>
  <c r="B78" i="1"/>
  <c r="B82" i="1" s="1"/>
  <c r="B86" i="1" s="1"/>
  <c r="B90" i="1" s="1"/>
  <c r="B94" i="1" s="1"/>
  <c r="B98" i="1" s="1"/>
  <c r="B102" i="1" s="1"/>
  <c r="B106" i="1" s="1"/>
  <c r="B110" i="1" s="1"/>
  <c r="B114" i="1" s="1"/>
  <c r="B118" i="1" s="1"/>
  <c r="B122" i="1" s="1"/>
  <c r="B126" i="1" s="1"/>
  <c r="B130" i="1" s="1"/>
  <c r="B134" i="1" s="1"/>
  <c r="B138" i="1" s="1"/>
  <c r="B142" i="1" s="1"/>
  <c r="B146" i="1" s="1"/>
  <c r="B150" i="1" s="1"/>
  <c r="B154" i="1" s="1"/>
  <c r="B158" i="1" s="1"/>
  <c r="B162" i="1" s="1"/>
  <c r="B166" i="1" s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Lucie Riu</author>
    <author>Microsoft Office User</author>
  </authors>
  <commentList>
    <comment ref="C72" authorId="0" shapeId="0" xr:uid="{00000000-0006-0000-0000-000001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</t>
        </r>
      </text>
    </comment>
    <comment ref="C73" authorId="0" shapeId="0" xr:uid="{00000000-0006-0000-0000-000002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</t>
        </r>
      </text>
    </comment>
    <comment ref="C74" authorId="0" shapeId="0" xr:uid="{00000000-0006-0000-0000-000003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Solar Conjunction
</t>
        </r>
      </text>
    </comment>
    <comment ref="C87" authorId="0" shapeId="0" xr:uid="{00000000-0006-0000-0000-000004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111" authorId="0" shapeId="0" xr:uid="{00000000-0006-0000-0000-000005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Equatorial Occultations during the whole STP.</t>
        </r>
      </text>
    </comment>
    <comment ref="C128" authorId="0" shapeId="0" xr:uid="{00000000-0006-0000-0000-000006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Equatorial Occultations during the whole STP.
</t>
        </r>
      </text>
    </comment>
    <comment ref="C166" authorId="0" shapeId="0" xr:uid="{00000000-0006-0000-0000-000007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Equatorial Occultations during the whole STP.</t>
        </r>
      </text>
    </comment>
    <comment ref="C168" authorId="0" shapeId="0" xr:uid="{00000000-0006-0000-0000-000008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Equatorial Occultations during the whole STP.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76" authorId="1" shapeId="0" xr:uid="{00000000-0006-0000-0000-000009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STP starting with OCM for inclination change.</t>
        </r>
      </text>
    </comment>
    <comment ref="C177" authorId="1" shapeId="0" xr:uid="{00000000-0006-0000-0000-00000A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STP starting with OCM for inclination change.</t>
        </r>
      </text>
    </comment>
    <comment ref="C178" authorId="1" shapeId="0" xr:uid="{00000000-0006-0000-0000-00000B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STP starting with OCM for inclination change.</t>
        </r>
      </text>
    </comment>
    <comment ref="C182" authorId="1" shapeId="0" xr:uid="{00000000-0006-0000-0000-00000C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Solar Conjunction
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C183" authorId="1" shapeId="0" xr:uid="{00000000-0006-0000-0000-00000D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</t>
        </r>
      </text>
    </comment>
    <comment ref="C184" authorId="1" shapeId="0" xr:uid="{00000000-0006-0000-0000-00000E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special pointings after solar conjunction.</t>
        </r>
      </text>
    </comment>
    <comment ref="C185" authorId="1" shapeId="0" xr:uid="{00000000-0006-0000-0000-00000F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225" authorId="1" shapeId="0" xr:uid="{00000000-0006-0000-0000-000010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227" authorId="1" shapeId="0" xr:uid="{00000000-0006-0000-0000-000011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H246" authorId="1" shapeId="0" xr:uid="{00000000-0006-0000-0000-000012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NOMAD: Deimos linescan is a test, TBC if we'll continue using it.</t>
        </r>
      </text>
    </comment>
    <comment ref="H250" authorId="1" shapeId="0" xr:uid="{00000000-0006-0000-0000-000013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NOMAD: Applicable from MTP063 onward when we have 2 UVIS-led moon pointings:
</t>
        </r>
        <r>
          <rPr>
            <sz val="10"/>
            <color rgb="FF000000"/>
            <rFont val="Calibri"/>
            <family val="2"/>
          </rPr>
          <t xml:space="preserve">However, if there are no Deimos opportunities with a phase angle &lt; 40 degrees (let’s say for at least ¾ of the pointing duration) then switch the Deimos observation to Phobos observation (linescan, with a 90 degree rotation in the boresight w.r.t. other linescan)
</t>
        </r>
      </text>
    </comment>
    <comment ref="F254" authorId="1" shapeId="0" xr:uid="{00000000-0006-0000-0000-000014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Linescans cannot be implemented since beta&lt;45deg during the whole period.</t>
        </r>
      </text>
    </comment>
    <comment ref="C270" authorId="1" shapeId="0" xr:uid="{00000000-0006-0000-0000-000015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B274" authorId="1" shapeId="0" xr:uid="{00000000-0006-0000-0000-000016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Until MTP069 the table includes the actually implemented pointings.
</t>
        </r>
      </text>
    </comment>
    <comment ref="F282" authorId="1" shapeId="0" xr:uid="{00000000-0006-0000-0000-000017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periods with beta&gt;45deg available for (Sun) calibration pointings with STR blinding avoidance.</t>
        </r>
      </text>
    </comment>
    <comment ref="C287" authorId="1" shapeId="0" xr:uid="{00000000-0006-0000-0000-000018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292" authorId="1" shapeId="0" xr:uid="{00000000-0006-0000-0000-000019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Conjunction.</t>
        </r>
      </text>
    </comment>
    <comment ref="C293" authorId="1" shapeId="0" xr:uid="{00000000-0006-0000-0000-00001A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Conjunction.</t>
        </r>
      </text>
    </comment>
    <comment ref="C294" authorId="1" shapeId="0" xr:uid="{00000000-0006-0000-0000-00001B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special pointings (after solar conjunction)</t>
        </r>
      </text>
    </comment>
    <comment ref="C295" authorId="1" shapeId="0" xr:uid="{00000000-0006-0000-0000-00001C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 special pointings (after solar conjunction)
</t>
        </r>
      </text>
    </comment>
    <comment ref="F306" authorId="1" shapeId="0" xr:uid="{00000000-0006-0000-0000-00001D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 periods with beta&gt;45deg available for (Sun) calibration pointings with STR blinding avoidance.
</t>
        </r>
      </text>
    </comment>
    <comment ref="C310" authorId="1" shapeId="0" xr:uid="{00000000-0006-0000-0000-00001E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F314" authorId="1" shapeId="0" xr:uid="{00000000-0006-0000-0000-00001F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 periods with beta&gt;45deg available for (Sun) calibration pointings with STR blinding avoidance.
</t>
        </r>
      </text>
    </comment>
    <comment ref="G318" authorId="0" shapeId="0" xr:uid="{00000000-0006-0000-0000-000020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F322" authorId="1" shapeId="0" xr:uid="{00000000-0006-0000-0000-000021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(Almost) no periods with beta&gt;45deg available for (Sun) calibration pointings with STR blinding avoidance.
</t>
        </r>
      </text>
    </comment>
    <comment ref="F330" authorId="0" shapeId="0" xr:uid="{00000000-0006-0000-0000-000022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(Almost) no periods with beta&gt;45deg available for (Sun) calibration pointings with STR blinding avoidance.
</t>
        </r>
      </text>
    </comment>
    <comment ref="G334" authorId="0" shapeId="0" xr:uid="{00000000-0006-0000-0000-000023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B338" authorId="0" shapeId="0" xr:uid="{00000000-0006-0000-0000-000024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SP implemented so far.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C343" authorId="0" shapeId="0" xr:uid="{00000000-0006-0000-0000-000025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Test on gyro-less mode. Unclear planning for STP342 and 343.</t>
        </r>
      </text>
    </comment>
    <comment ref="G346" authorId="0" shapeId="0" xr:uid="{00000000-0006-0000-0000-000026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G350" authorId="0" shapeId="0" xr:uid="{00000000-0006-0000-0000-000027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C352" authorId="0" shapeId="0" xr:uid="{00000000-0006-0000-0000-000028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Equatorial occultations during the whole STP.
</t>
        </r>
      </text>
    </comment>
    <comment ref="C370" authorId="0" shapeId="0" xr:uid="{00000000-0006-0000-0000-000029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Equatorial occultations during the whole STP.
</t>
        </r>
      </text>
    </comment>
    <comment ref="C372" authorId="0" shapeId="0" xr:uid="{00000000-0006-0000-0000-00002A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Equatorial occultations during the whole STP.
</t>
        </r>
      </text>
    </comment>
    <comment ref="C389" authorId="0" shapeId="0" xr:uid="{00000000-0006-0000-0000-00002B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This STP is filled with  equatorial occ. 
</t>
        </r>
      </text>
    </comment>
    <comment ref="C403" authorId="0" shapeId="0" xr:uid="{00000000-0006-0000-0000-00002C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Conjuction, timing to be refined</t>
        </r>
      </text>
    </comment>
    <comment ref="C412" authorId="0" shapeId="0" xr:uid="{00000000-0006-0000-0000-00002D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This STP is filled with  equatorial occ. 
</t>
        </r>
      </text>
    </comment>
    <comment ref="C414" authorId="0" shapeId="0" xr:uid="{00000000-0006-0000-0000-00002E00000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This STP is filled with  equatorial occ. 
</t>
        </r>
      </text>
    </comment>
    <comment ref="C454" authorId="0" shapeId="0" xr:uid="{CC58A93A-8B66-854A-8541-585327B75D26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This STP is filled with  equatorial occ.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C457" authorId="0" shapeId="0" xr:uid="{286D2C3E-3CF2-F24C-9583-C8A3EB233651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This STP is filled with  equatorial occ.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C472" authorId="0" shapeId="0" xr:uid="{E7BBA71E-D6AF-4B4F-847B-DC79A68B075D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This STP is filled with  equatorial occ.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<sst xmlns="http://schemas.openxmlformats.org/spreadsheetml/2006/main" count="765" uniqueCount="243">
  <si>
    <t>MTP</t>
  </si>
  <si>
    <t>STP</t>
  </si>
  <si>
    <t>Beta</t>
  </si>
  <si>
    <t>N of Sp. P.</t>
  </si>
  <si>
    <t>Cal. Pointing Requests</t>
  </si>
  <si>
    <t>Limb Pointing Requests</t>
  </si>
  <si>
    <t>Phobos/Deimos Requests</t>
  </si>
  <si>
    <t>Other Pointing Requests</t>
  </si>
  <si>
    <t>4 UVIS limb pointings</t>
  </si>
  <si>
    <t>2 ACS LINESCAN                                   1 NOMAD NO FREQSCAN                   1 NOMAD NO UVIS LINESCAN</t>
  </si>
  <si>
    <t>4 NOMAD inertial limb (sunward)</t>
  </si>
  <si>
    <t>2 NOMAD inertial limb (anti-sunward)</t>
  </si>
  <si>
    <t>3 NOMAD inertial limb (sunward)</t>
  </si>
  <si>
    <t>4 NOMAD inertial limb (anti-sunward)</t>
  </si>
  <si>
    <t xml:space="preserve">4 NOMAD day-side limb </t>
  </si>
  <si>
    <t xml:space="preserve">3 NOMAD day-side inertial limb                     </t>
  </si>
  <si>
    <t>2 NOMAD day-side inertial limb                       2 NOMAD night-side inertial limb</t>
  </si>
  <si>
    <t>2 NOMAD day-side inertial limb                        1 NOMAD night-side inertial limb</t>
  </si>
  <si>
    <t>3 NOMAD day-side inertial limb                        1 NOMAD night-side inertial limb</t>
  </si>
  <si>
    <t xml:space="preserve">8 NOMAD day-side limb </t>
  </si>
  <si>
    <t>3 NOMAD day-side inertial limb                       5 NOMAD day-side limb track</t>
  </si>
  <si>
    <t xml:space="preserve">2 NOMAD day-side inertial limb                        4 NOMAD night-side limb track                            2 NOMAD day-side limb track </t>
  </si>
  <si>
    <t xml:space="preserve">3 NOMAD day-side inertial limb                        6 NOMAD night-side limb track                            </t>
  </si>
  <si>
    <t>2 ACS LINESCAN</t>
  </si>
  <si>
    <t>1 ACS LINESCAN</t>
  </si>
  <si>
    <t>low</t>
  </si>
  <si>
    <t>2 ACS SUNSTARE
2 NOMAD FREQSCAN</t>
  </si>
  <si>
    <t>2 day-side inertial
2 day-side limb track
4 night-side limb track</t>
  </si>
  <si>
    <t>high
occ-free period</t>
  </si>
  <si>
    <t>2 CaSSIS Stellar Cal.
2 NOMAD SO LINESCAN</t>
  </si>
  <si>
    <t>4 day-side inertial
4 day-side limb track</t>
  </si>
  <si>
    <t>3 ACS SUNSTARE
1 NOMAD FREQSCAN</t>
  </si>
  <si>
    <t>2 day-side inertial
4 night-side limb track</t>
  </si>
  <si>
    <t>medium</t>
  </si>
  <si>
    <t>5 night-side inertial</t>
  </si>
  <si>
    <t>1 CaSSIS Stellar Cal. (α Lyrae)
1 ACS LINESCAN
2 NOMAD UVIS LINESCAN</t>
  </si>
  <si>
    <t>2 day-side inertial
3 day-side limb track</t>
  </si>
  <si>
    <t>2 ACS SUNSTARE
4 NOMAD FREQSCAN</t>
  </si>
  <si>
    <t>2 day-side inertial
3 night-side inertial
3 night-side limb track</t>
  </si>
  <si>
    <t>1 ACS LINESCAN
2 NOMAD FREQSCAN
2 NOMAD SO LINESCAN
1 CaSSIS Stellar Cal.</t>
  </si>
  <si>
    <t>2 day-side inertial
6 night-side limb track</t>
  </si>
  <si>
    <t>high</t>
  </si>
  <si>
    <t>2 ACS LINESCAN
2 NOMAD FREQSCAN
2 NOMAD UVIS LINESCAN</t>
  </si>
  <si>
    <t>1 CaSSIS Jupiter Cal.
1 ACS LINESCAN
4 NOMAD FREQSCAN</t>
  </si>
  <si>
    <t>1 day-side inertial
2 night-side limb track</t>
  </si>
  <si>
    <t>4 Phobos tracking (LNO)</t>
  </si>
  <si>
    <t>1 ACS LINESCAN
3 NOMAD FREQSCAN</t>
  </si>
  <si>
    <t>2 day-side inertial
2 night-side limb track</t>
  </si>
  <si>
    <t>6 Phobos tracking (UVIS)</t>
  </si>
  <si>
    <t>2 ACS LINESCAN
3 NOMAD FREQSCAN</t>
  </si>
  <si>
    <t>2 day-side inertial
3 night-side limb track</t>
  </si>
  <si>
    <t>2 ACS LINESCAN
1 CASSIS Jupiter Cal.
3 NOMAD FREQSCAN</t>
  </si>
  <si>
    <t>6 Deimos tracking (UVIS)</t>
  </si>
  <si>
    <r>
      <rPr>
        <sz val="12"/>
        <color theme="1"/>
        <rFont val="Calibri (Body)_x0000_"/>
      </rPr>
      <t>2</t>
    </r>
    <r>
      <rPr>
        <sz val="12"/>
        <color theme="1"/>
        <rFont val="Calibri"/>
        <family val="2"/>
        <scheme val="minor"/>
      </rPr>
      <t xml:space="preserve"> NOMAD FREQSCAN</t>
    </r>
  </si>
  <si>
    <r>
      <rPr>
        <sz val="12"/>
        <color theme="1"/>
        <rFont val="Calibri (Body)_x0000_"/>
      </rPr>
      <t>5</t>
    </r>
    <r>
      <rPr>
        <sz val="12"/>
        <color theme="1"/>
        <rFont val="Calibri"/>
        <family val="2"/>
        <scheme val="minor"/>
      </rPr>
      <t xml:space="preserve"> Phobos tracking (LNO)</t>
    </r>
  </si>
  <si>
    <r>
      <rPr>
        <sz val="12"/>
        <color theme="1"/>
        <rFont val="Calibri (Body)_x0000_"/>
      </rPr>
      <t>2 ACS LINESCAN</t>
    </r>
    <r>
      <rPr>
        <sz val="12"/>
        <color theme="1"/>
        <rFont val="Calibri"/>
        <family val="2"/>
        <scheme val="minor"/>
      </rPr>
      <t xml:space="preserve">
2 NOMAD FREQSCAN</t>
    </r>
  </si>
  <si>
    <t>2 NOMAD day-side inertial
1 NOMAD night-side limb track</t>
  </si>
  <si>
    <r>
      <rPr>
        <sz val="12"/>
        <color theme="1"/>
        <rFont val="Calibri (Body)_x0000_"/>
      </rPr>
      <t>1 Phobos inertial CaSSIS
4</t>
    </r>
    <r>
      <rPr>
        <sz val="12"/>
        <color theme="1"/>
        <rFont val="Calibri"/>
        <family val="2"/>
        <scheme val="minor"/>
      </rPr>
      <t xml:space="preserve"> Phobos tracking (LNO)</t>
    </r>
  </si>
  <si>
    <t>2 ACS LINESCAN
1 NOMAD FREQSCAN
2 NOMAD UVIS LINESCAN</t>
  </si>
  <si>
    <t>2 NOMAD day-side inertial
2 NOMAD night-side limb track</t>
  </si>
  <si>
    <r>
      <rPr>
        <sz val="12"/>
        <color theme="1"/>
        <rFont val="Calibri (Body)"/>
      </rPr>
      <t>1 Deimos inertial CaSSIS</t>
    </r>
    <r>
      <rPr>
        <sz val="12"/>
        <color theme="1"/>
        <rFont val="Calibri"/>
        <family val="2"/>
        <scheme val="minor"/>
      </rPr>
      <t xml:space="preserve">
3 Phobos tracking (LNO)
2 Phobos tracking (UVIS)
1 Deimos tracking (UVIS)</t>
    </r>
  </si>
  <si>
    <t>2 ACS LINESCAN
1 CaSSIS Jupiter Calibration
3 NOMAD FREQSCAN</t>
  </si>
  <si>
    <r>
      <rPr>
        <sz val="12"/>
        <color theme="1"/>
        <rFont val="Calibri (Body)"/>
      </rPr>
      <t>1 CaSSIS night-side limb</t>
    </r>
    <r>
      <rPr>
        <sz val="12"/>
        <color theme="1"/>
        <rFont val="Calibri"/>
        <family val="2"/>
        <scheme val="minor"/>
      </rPr>
      <t xml:space="preserve">
2 NOMAD day-side inertial
2 NOMAD night-side limb track</t>
    </r>
  </si>
  <si>
    <t>3 Phobos tracking (LNO)
1 Phobos tracking (UVIS)
1 Deimos tracking (UVIS)</t>
  </si>
  <si>
    <t>2 ACS LINESCAN
2 NOMAD FREQSCAN</t>
  </si>
  <si>
    <r>
      <rPr>
        <sz val="12"/>
        <color theme="1"/>
        <rFont val="Calibri (Body)"/>
      </rPr>
      <t>1 CaSSIS day-side limb</t>
    </r>
    <r>
      <rPr>
        <sz val="12"/>
        <color theme="1"/>
        <rFont val="Calibri"/>
        <family val="2"/>
        <scheme val="minor"/>
      </rPr>
      <t xml:space="preserve">
2 NOMAD day-side inertial
2 NOMAD night-side limb track</t>
    </r>
  </si>
  <si>
    <t>2 Phobos tracking (LNO)
1 Phobos linescan (UVIS)
1 Phobos linescan (LNO)</t>
  </si>
  <si>
    <t>2 ACS LINESCAN
1 CaSSIS Stellar Calibration
2 NOMAD FREQSCAN</t>
  </si>
  <si>
    <r>
      <t xml:space="preserve">3 Phobos tracking (LNO)
1 Phobos tracking (UVIS)
</t>
    </r>
    <r>
      <rPr>
        <sz val="11"/>
        <color theme="1"/>
        <rFont val="Calibri (Body)_x0000_"/>
      </rPr>
      <t>1 Phobos linescan (UVIS)
1 Phobos linescan (LNO)</t>
    </r>
  </si>
  <si>
    <t>1 CaSSIS Mars Express</t>
  </si>
  <si>
    <t>1 NOMAD FREQSCAN
2 NOMAD UVIS LINESCAN</t>
  </si>
  <si>
    <r>
      <rPr>
        <sz val="9"/>
        <color theme="1"/>
        <rFont val="Calibri (Body)"/>
      </rPr>
      <t>1 CaSSIS Phobos Occultation</t>
    </r>
    <r>
      <rPr>
        <sz val="9"/>
        <color theme="1"/>
        <rFont val="Calibri"/>
        <family val="2"/>
        <scheme val="minor"/>
      </rPr>
      <t xml:space="preserve">
2 Phobos tracking (LNO)
2 Phobos linescan (LNO)
1 Phobos linescan (UVIS)
1 Deimos linescan (UVIS)</t>
    </r>
  </si>
  <si>
    <t>1 Electra Earth</t>
  </si>
  <si>
    <t>2 NOMAD day-side inertial
1 NOMAD night-side inertial
1 NOMAD night-side limb track</t>
  </si>
  <si>
    <t>1 CaSSIS Deimos inertial
1 CaSSIS Deimos occultation
2 Phobos tracking (LNO)
2 Phobos linescan (UVIS)</t>
  </si>
  <si>
    <t>3 Electra Earth</t>
  </si>
  <si>
    <t>3 NOMAD FREQSCAN</t>
  </si>
  <si>
    <t>1 CaSSIS day-side limb
2 NOMAD night-side inertial
2 NOMAD day-side inertial
1 NOMAD night-side tracking</t>
  </si>
  <si>
    <t>2 Phobos tracking (LNO)
1 Phobos linescan (LNO)
1 Phobos tracking (UVIS)
1 Deimos tracking (UVIS)</t>
  </si>
  <si>
    <t>1 CaSSIS terminator limb
2 NOMAD day-side inertial
2 NOMAD night-side inertial</t>
  </si>
  <si>
    <t>1 CaSSIS Phobos inertial
3 Phobos tracking (LNO)
1 Phobos tracking (UVIS)
1 Deimos tracking (UVIS)</t>
  </si>
  <si>
    <t>2 NOMAD day-side inertial
2 NOMAD night-side inertial
1 NOMAD night-side tracking</t>
  </si>
  <si>
    <t>1 CaSSIS Phobos inertial
3 Phobos tracking (LNO)
1 Phobos linescan (UVIS)
1 Deimos tracking (UVIS)</t>
  </si>
  <si>
    <t>1 ACS LINESCAN
1 NOMAD FREQSCAN</t>
  </si>
  <si>
    <t>1 NOMAD day-side inertial
3 NOMAD night-side tracking</t>
  </si>
  <si>
    <t>1 CaSSIS Phobos inertial
2 Phobos linescan (UVIS)</t>
  </si>
  <si>
    <t>1 NOMAD day-side inertial
6 NOMAD night-side tracking</t>
  </si>
  <si>
    <t>1 CaSSIS Phobos inertial
2 Phobos tracking (LNO)
2 Phobos linescan (UVIS)</t>
  </si>
  <si>
    <t>2 ACS LINESCAN
1 CaSSIS Star Field Calibration</t>
  </si>
  <si>
    <t>1 NOMAD day-side inertial
8 NOMAD night-side tracking</t>
  </si>
  <si>
    <t>1 CaSSIS Phobos inertial
2 Phobos tracking (LNO)
1 Phobos tracking (UVIS)</t>
  </si>
  <si>
    <r>
      <rPr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ACS LINESCAN
2 CaSSIS Star Field Calibrations</t>
    </r>
  </si>
  <si>
    <t>1 NOMAD day-side inertial
3 NOMAD night-side inertial
4 NOMAD night-side tracking</t>
  </si>
  <si>
    <t>2 Phobos tracking (LNO)
2 Phobos tracking (UVIS)</t>
  </si>
  <si>
    <t>1 NOMAD day-side inertial
3 NOMAD night-side inertial
5 NOMAD night-side tracking</t>
  </si>
  <si>
    <t>1 CaSSIS Phobos inertial
1 Phobos tracking (LNO)
1 Phobos tracking (UVIS)</t>
  </si>
  <si>
    <t>1 NOMAD day-side inertial
1 NOMAD night-side inertial
4 NOMAD night-side tracking</t>
  </si>
  <si>
    <t>1 NOMAD day-side inertial
2 NOMAD night-side inertial
1 NOMAD night-side tracking</t>
  </si>
  <si>
    <t>1 CaSSIS Deimos inertial
3 Deimos tracking (UVIS)</t>
  </si>
  <si>
    <t>1 NOMAD night-side inertial
1 NOMAD night-side tracking</t>
  </si>
  <si>
    <t>1 CaSSIS Phobos inertial
2 Phobos tracking (LNO)
1 Deimos tracking (UVIS)</t>
  </si>
  <si>
    <t>1 NOMAD day-side inertial
3 NOMAD night-side inertial</t>
  </si>
  <si>
    <t>1 CaSSIS Phobos inertial
4 Phobos tracking (LNO)
2 Phobos tracking (UVIS)
2 Deimos tracking (UVIS)</t>
  </si>
  <si>
    <t>3?</t>
  </si>
  <si>
    <t>2?</t>
  </si>
  <si>
    <t>1 Phobos tracking (UVIS)                    1 Phobos tracking (LNO)</t>
  </si>
  <si>
    <t xml:space="preserve">5 NOMAD day-side limb track </t>
  </si>
  <si>
    <t>2 ACS LINESCAN                                      2 NOMAD LINESCAN</t>
  </si>
  <si>
    <t>1 ACS TIRVIM Boresight                              3 NOMAD FREQSCAN</t>
  </si>
  <si>
    <t>4 NOMAD FREQSCAN</t>
  </si>
  <si>
    <t xml:space="preserve">2 NOMAD UVIS LINESCAN </t>
  </si>
  <si>
    <t>2 NOMAD FREQSCAN</t>
  </si>
  <si>
    <t xml:space="preserve">2 ACS LINESCAN                                   2 NOMAD FREQSCAN                   </t>
  </si>
  <si>
    <t xml:space="preserve">2 ACS LINESCAN                                   2 NOMAD SO LINESCAN                </t>
  </si>
  <si>
    <t xml:space="preserve">1 ACS LINESCAN                                   2 NOMAD FREQSCAN                   </t>
  </si>
  <si>
    <t xml:space="preserve">2 ACS LINESCAN                                   1 NOMAD FREQSCAN                   </t>
  </si>
  <si>
    <t>1 ACS SUNSTARE                                                        1 ACS LINESCAN                                      1 NOMAD FREQSCAN</t>
  </si>
  <si>
    <t>1 ACS SUNSTARE                                                        1 ACS LINESCAN                                      2 NOMAD FREQSCAN</t>
  </si>
  <si>
    <t>2 ACS SUNSTARE                                                                                              2 NOMAD FREQSCAN</t>
  </si>
  <si>
    <t>1 ACS SUNSTARE                                                        1 ACS MIR LINESCAN                                      2 NOMAD UVIS LINESCAN</t>
  </si>
  <si>
    <t>1 ACS SUNSTARE                                                        1 ACS LINESCAN                                      2 NOMAD UVIS LINESCAN</t>
  </si>
  <si>
    <t>2 ACS SUNSTARE                                                                                              1 NOMAD FREQSCAN</t>
  </si>
  <si>
    <t>2 ACS SUNSTARE                                                        1 NOMAD SO LINESCAN                                      1 NOMAD FREQSCAN</t>
  </si>
  <si>
    <t>1 ACS LINESCAN                                                  2 CaSSIS Stellar Cal.                                      1 NOMAD SO LINESCAN</t>
  </si>
  <si>
    <t>1 ACS SUNSTARE                                                1 CaSSIS Stellar Cal.                                      1 NOMAD UVIS LINESCAN</t>
  </si>
  <si>
    <t>1 ACS TIRVIM Boresight                       1 ACS LINESCAN                                    1 NOMAD FREQSCAN                         1 NOMAD UVIS LINESCAN</t>
  </si>
  <si>
    <t>1 ACS TIRVIM Boresight                       1 ACS LINESCAN                                    1 NOMAD SO LINESCAN                         1 NOMAD UVIS LINESCAN</t>
  </si>
  <si>
    <t xml:space="preserve">1 ACS LINESCAN                                    1 NOMAD FREQSCAN                         </t>
  </si>
  <si>
    <t>1 ACS LINESCAN                                   2 NOMAD FREQSCAN                                              1 NOMAD UVIS LINESCAN</t>
  </si>
  <si>
    <t xml:space="preserve">2 ACS LINESCAN                                   2 NOMAD FREQSCAN                                            </t>
  </si>
  <si>
    <t xml:space="preserve">1 ACS LINESCAN                                   3 NOMAD FREQSCAN                                            </t>
  </si>
  <si>
    <t>1 ACS LINESCAN                                      1 NOMAD FREQSCAN                                            2 NOMAD UVIS LINESCAN</t>
  </si>
  <si>
    <t xml:space="preserve">3 NOMAD  FREQSCAN                   </t>
  </si>
  <si>
    <t xml:space="preserve">1 ACS LINESCAN                                   2 NOMAD FREQSCAN                          1 CaSSIS Jupiter Scan                </t>
  </si>
  <si>
    <t>NOMAD</t>
  </si>
  <si>
    <t>ACS</t>
  </si>
  <si>
    <t>CaSSIS</t>
  </si>
  <si>
    <t>ELECTRA</t>
  </si>
  <si>
    <t>Total</t>
  </si>
  <si>
    <t>all</t>
  </si>
  <si>
    <t>from MTP036</t>
  </si>
  <si>
    <t>from MTP057</t>
  </si>
  <si>
    <t xml:space="preserve">1 ACS TIRVIM Boresight                                                        1 NOMAD SO LINESCAN                         </t>
  </si>
  <si>
    <t>7 Phobos tracking (LNO)
8 Phobos/Deimos tracking (UVIS)</t>
  </si>
  <si>
    <t>4?</t>
  </si>
  <si>
    <t>high (occ. free)</t>
  </si>
  <si>
    <t>2 ACS LINESCAN
3 NOMAD FREQSCAN
1 CaSSIS Stellar Calibration</t>
  </si>
  <si>
    <t>2 ACS LINESCAN                                                      2 NOMAD UVIS LINESCAN</t>
  </si>
  <si>
    <t>1 Phobos tracking (LNO)
1 Phobos tracking (UVIS)</t>
  </si>
  <si>
    <t>1 CASSIS night-side limb
3 NOMAD limb</t>
  </si>
  <si>
    <t>2 ACS LINESCAN
1 NOMAD FREQSCAN
1 CaSSIS Stellar Cal.                              2 NOMAD UVIS LINESCAN</t>
  </si>
  <si>
    <t>1 NOMAD FREQSCAN</t>
  </si>
  <si>
    <t>1 ACS LINESCAN
2 NOMAD FREQSCAN</t>
  </si>
  <si>
    <r>
      <rPr>
        <sz val="12"/>
        <color theme="1"/>
        <rFont val="Calibri (Body)"/>
      </rPr>
      <t>1 CASSIS Deimos occ.</t>
    </r>
    <r>
      <rPr>
        <sz val="12"/>
        <color theme="1"/>
        <rFont val="Calibri"/>
        <family val="2"/>
        <scheme val="minor"/>
      </rPr>
      <t xml:space="preserve">
1 Phobos tracking (UVIS)</t>
    </r>
  </si>
  <si>
    <t>LTP</t>
  </si>
  <si>
    <t>1 Phobos tracking (UVIS)                   1 Phobos tracking (-Y)</t>
  </si>
  <si>
    <t>1 Phobos tracking (UVIS)                   1 Phobos tracking (-Y)                        1 Phobos tracking (LNO)</t>
  </si>
  <si>
    <t>1 Deimos tracking (UVIS)                   1 Deimos tracking (LNO)</t>
  </si>
  <si>
    <t>3 Phobos tracking (LNO)                    3 Phobos tracking (UVIS)</t>
  </si>
  <si>
    <r>
      <rPr>
        <sz val="12"/>
        <color theme="1"/>
        <rFont val="Calibri (Body)"/>
      </rPr>
      <t>1 CASSIS Phobos occ.</t>
    </r>
    <r>
      <rPr>
        <sz val="12"/>
        <color theme="1"/>
        <rFont val="Calibri"/>
        <family val="2"/>
        <scheme val="minor"/>
      </rPr>
      <t xml:space="preserve">
4 Phobos tracking (UVIS)
1 Deimos tracking (UVIS)                   4 Phobos tracking (LNO)</t>
    </r>
  </si>
  <si>
    <t xml:space="preserve">2 Phobos tracking (LNO)
1 Phobos tracking (UVIS)   
1 Deimos tracking (UVIS) </t>
  </si>
  <si>
    <r>
      <rPr>
        <sz val="9"/>
        <color theme="1"/>
        <rFont val="Calibri (Body)"/>
      </rPr>
      <t xml:space="preserve">1 CASSIS night-side limb
</t>
    </r>
    <r>
      <rPr>
        <sz val="9"/>
        <color theme="1"/>
        <rFont val="Calibri"/>
        <family val="2"/>
        <scheme val="minor"/>
      </rPr>
      <t>3 NOMAD night-side inertial           
2 NOMAD day-side inertial              
3 NOMAD night-side tracking               
2 NOMAD day-side tracking</t>
    </r>
  </si>
  <si>
    <t>2 Phobos tracking (LNO)
1 Phobos tracking (UVIS)</t>
  </si>
  <si>
    <t>2 ACS LINESCAN
1 CaSSIS Stellar Calibration
1 NOMAD FREQSCAN
2 NOMAD UVIS LINESCAN</t>
  </si>
  <si>
    <t xml:space="preserve">4 Phobos tracking (LNO)
2 Phobos tracking (UVIS)   
4 Deimos tracking (UVIS) </t>
  </si>
  <si>
    <r>
      <t>3</t>
    </r>
    <r>
      <rPr>
        <sz val="12"/>
        <color theme="1"/>
        <rFont val="Calibri"/>
        <family val="2"/>
        <scheme val="minor"/>
      </rPr>
      <t xml:space="preserve"> Phobos tracking (LNO)
3 Deimos tracking (UVIS)</t>
    </r>
  </si>
  <si>
    <t xml:space="preserve">4 NOMAD day-side inertial              
8 NOMAD night-side tracking               </t>
  </si>
  <si>
    <t>3-4 Phobos/Deimos tracking (UVIS)</t>
  </si>
  <si>
    <t xml:space="preserve">4 NOMAD night-side inertial                 1 NOMAD day-side inertial                  3 NOMAD night-side tracking </t>
  </si>
  <si>
    <t>1 CASSIS Phobos occ.                           4 Phobos tracking (LNO)
4 Phobos tracking (UVIS)   
2 Deimos tracking (UVIS)</t>
  </si>
  <si>
    <t xml:space="preserve">3 NOMAD night-side inertial        
   1 NOMAD day-side inertial             2 NOMAD night-side tracking </t>
  </si>
  <si>
    <t xml:space="preserve">4 NOMAD night-side inertial         
  1 NOMAD day-side inertial              
4 NOMAD night-side tracking </t>
  </si>
  <si>
    <t>2 ACS LINESCAN
1 NOMAD FREQSCAN</t>
  </si>
  <si>
    <t xml:space="preserve">2 NOMAD night-side inertial         
  1 NOMAD day-side inertial              
5 NOMAD night-side tracking </t>
  </si>
  <si>
    <t>1 Deimos tracking (UVIS)</t>
  </si>
  <si>
    <r>
      <rPr>
        <sz val="9"/>
        <color theme="1"/>
        <rFont val="Calibri (Body)"/>
      </rPr>
      <t>2 CASSIS night-side limb
2</t>
    </r>
    <r>
      <rPr>
        <sz val="9"/>
        <color theme="1"/>
        <rFont val="Calibri"/>
        <family val="2"/>
        <scheme val="minor"/>
      </rPr>
      <t xml:space="preserve"> NOMAD night-side inertial           
1 NOMAD day-side inertial              
5 NOMAD night-side tracking</t>
    </r>
  </si>
  <si>
    <r>
      <t>3</t>
    </r>
    <r>
      <rPr>
        <sz val="12"/>
        <color theme="1"/>
        <rFont val="Calibri"/>
        <family val="2"/>
        <scheme val="minor"/>
      </rPr>
      <t xml:space="preserve"> Phobos tracking (LNO)
1 Phobos tracking (UVIS)
1 Deimos tracking (UVIS)</t>
    </r>
  </si>
  <si>
    <r>
      <rPr>
        <sz val="9"/>
        <color theme="1"/>
        <rFont val="Calibri (Body)"/>
      </rPr>
      <t>2 CASSIS night-side limb
2</t>
    </r>
    <r>
      <rPr>
        <sz val="9"/>
        <color theme="1"/>
        <rFont val="Calibri"/>
        <family val="2"/>
        <scheme val="minor"/>
      </rPr>
      <t xml:space="preserve"> NOMAD night-side inertial           
1 NOMAD day-side inertial              
2 NOMAD night-side tracking</t>
    </r>
  </si>
  <si>
    <t>1 Phobos tracking (LNO)
1 Deimos tracking (UVIS)</t>
  </si>
  <si>
    <t xml:space="preserve">1 ACS MIR Nadir </t>
  </si>
  <si>
    <t>1 ACS MIR Nadir</t>
  </si>
  <si>
    <t>2 NOMAD UVIS LINESCAN</t>
  </si>
  <si>
    <t>3 NOMAD day-side limb                 
  1 NOMAD night-side limb</t>
  </si>
  <si>
    <t>2 NOMAD day-side limb               
     2 NOMAD night-side limb</t>
  </si>
  <si>
    <t>2 NOMAD UVIS LINESCAN             
   2 NOMAD FREQSCAN</t>
  </si>
  <si>
    <t>2 NOMAD day-side limb              
2 NOMAD night-side limb</t>
  </si>
  <si>
    <t>2 NOMAD day-side limb                   
2 NOMAD night-side limb</t>
  </si>
  <si>
    <t>6 NOMAD day-side limb                   
2 NOMAD night-side limb</t>
  </si>
  <si>
    <t xml:space="preserve">1 CASSIS night-side limb
1 NOMAD night-side inertial           
1 NOMAD day-side inertial              
2 NOMAD night-side tracking </t>
  </si>
  <si>
    <t xml:space="preserve">1 CASSIS night-side limb
2 NOMAD night-side inertial           
1 NOMAD day-side inertial              
5 NOMAD night-side tracking </t>
  </si>
  <si>
    <t xml:space="preserve">2 NOMAD night-side inertial           
1 NOMAD day-side inertial              
3 NOMAD night-side tracking </t>
  </si>
  <si>
    <r>
      <rPr>
        <sz val="12"/>
        <color theme="1"/>
        <rFont val="Calibri (Body)"/>
      </rPr>
      <t>1 CASSIS night-side limb</t>
    </r>
    <r>
      <rPr>
        <sz val="12"/>
        <color theme="1"/>
        <rFont val="Calibri"/>
        <family val="2"/>
        <scheme val="minor"/>
      </rPr>
      <t xml:space="preserve">
4 NOMAD night-side inertial           
1 NOMAD day-side inertial              
4 NOMAD night-side tracking</t>
    </r>
  </si>
  <si>
    <t>1 ACS LINESCAN
1 NOMAD FREQSCAN
2 NOMAD UVIS LINESCAN</t>
  </si>
  <si>
    <t>1 CaSSIS Stellar Calibration
1 NOMAD FREQSCAN
2 NOMAD UVIS LINESCAN</t>
  </si>
  <si>
    <r>
      <rPr>
        <sz val="9"/>
        <color theme="1"/>
        <rFont val="Calibri (Body)"/>
      </rPr>
      <t>2 CASSIS night-side limb
3</t>
    </r>
    <r>
      <rPr>
        <sz val="9"/>
        <color theme="1"/>
        <rFont val="Calibri"/>
        <family val="2"/>
        <scheme val="minor"/>
      </rPr>
      <t xml:space="preserve"> NOMAD night-side inertial           
1 NOMAD day-side inertial              
3 NOMAD night-side tracking</t>
    </r>
  </si>
  <si>
    <t>1 Phobos tracking (UVIS)
3 Deimos tracking (UVIS)</t>
  </si>
  <si>
    <t>2 CASSIS night-side limb
3 NOMAD night-side inertial           
1 NOMAD day-side inertial              
3 NOMAD night-side tracking</t>
  </si>
  <si>
    <t>5 Phobos tracking (LNO)</t>
  </si>
  <si>
    <t>1 CaSSIS Deimos obs.
3 Phobos tracking (UVIS)
1 Deimos tracking (UVIS)</t>
  </si>
  <si>
    <t>2 CASSIS night-side limb
6 NOMAD night-side inertial           
1 NOMAD day-side inertial              
4 NOMAD night-side tracking</t>
  </si>
  <si>
    <t>6 NOMAD night-side inertial           
2 NOMAD day-side inertial              
4 NOMAD night-side tracking</t>
  </si>
  <si>
    <t>4 Phobos tracking (UVIS)</t>
  </si>
  <si>
    <t>4 NOMAD night-side inertial           
1 NOMAD day-side inertial              
1 NOMAD night-side tracking</t>
  </si>
  <si>
    <t>1 Phobos tracking (UVIS)</t>
  </si>
  <si>
    <t>1?</t>
  </si>
  <si>
    <t>7 NOMAD night-side inertial           
2 NOMAD day-side inertial              
4 NOMAD night-side tracking</t>
  </si>
  <si>
    <t>2 CASSIS night-side limb
4 NOMAD night-side inertial           
3 NOMAD night-side tracking</t>
  </si>
  <si>
    <t>1 CaSSIS Phobos inertial
4 Phobos tracking (UVIS)</t>
  </si>
  <si>
    <t>9 NOMAD night-side inertial           
3 NOMAD night-side tracking</t>
  </si>
  <si>
    <t>1 CaSSIS Phobos inertial
4 Phobos tracking (UVIS) 
1 Deimos tracking (UVIS)</t>
  </si>
  <si>
    <t>2 CASSIS night-side limb
1 NOMAD day-side inertial           
7 NOMAD night-side tracking</t>
  </si>
  <si>
    <t>2 Phobos tracking (UVIS)
1 Deimos tracking (UVIS)</t>
  </si>
  <si>
    <t>9 NOMAD night-side tracking           
1 NOMAD day-side tracking</t>
  </si>
  <si>
    <t>1 CaSSIS Deimos inertial
2 Phobos tracking (LNO)</t>
  </si>
  <si>
    <t>2 CaSSIS Special Object
1 NOMAD Special Object</t>
  </si>
  <si>
    <t>2 CASSIS night-side limb
2 NOMAD day-side tracking          
6 NOMAD night-side tracking</t>
  </si>
  <si>
    <t>3 Phobos tracking (UVIS)
1 Deimos tracking (UVIS)</t>
  </si>
  <si>
    <t>2 NOMAD FREQSCAN
2 NOMAD UVIS LINESCAN</t>
  </si>
  <si>
    <t>2 CASSIS night-side limb
2 NOMAD day-side tracking          
7 NOMAD night-side tracking</t>
  </si>
  <si>
    <t>2 Phobos tracking (UVIS)
2 Deimos tracking (UVIS)</t>
  </si>
  <si>
    <t>2 NOMAD night-side tracking           
1 NOMAD day-side tracking</t>
  </si>
  <si>
    <t>5 NOMAD night-side tracking           
1 NOMAD day-side tracking</t>
  </si>
  <si>
    <t>2 CaSSIS Deimos inertial
1 Phobos tracking (UVIS) 
3 Deimos tracking (UVIS)</t>
  </si>
  <si>
    <t>2 MEX-TGO calibration test</t>
  </si>
  <si>
    <t>1 ACS LINESCAN
1 CaSSIS Stellar Calibration</t>
  </si>
  <si>
    <t>1 CaSSIS Deimos observation
3-4 Phobos/Deimos tracking (UVIS)</t>
  </si>
  <si>
    <t>2 CaSSIS night-side limb
6 NOMAD limb</t>
  </si>
  <si>
    <t>2 CaSSIS night-side limb
8 NOMAD limb</t>
  </si>
  <si>
    <t>1 CaSSIS Deimos observation
4 Phobos tracking (LNO)</t>
  </si>
  <si>
    <t>2 CaSSIS night-side limb
7-8 NOMAD limb</t>
  </si>
  <si>
    <t>2 CaSSIS night-side limb
9 NOMAD limb</t>
  </si>
  <si>
    <t>1 ACS LINESCAN
1 NOMAD FREQSCAN
2 NOMAD UVIS LINESCAN (GYROS)</t>
  </si>
  <si>
    <t>2 CASSIS night-side limb
1 NOMAD day-side tracking          
7 NOMAD night-side tracking</t>
  </si>
  <si>
    <t>2 CASSIS night-side limb
2 NOMAD day-side tracking          
8 NOMAD night-side tracking</t>
  </si>
  <si>
    <t>2 NOMAD FREQSCAN
2 NOMAD UVIS LINESCAN (GYROS)</t>
  </si>
  <si>
    <t>1 ACS LINESCAN
1 CaSSIS Stellar Calibration
2 NOMAD FREQSCAN
2 NOMAD UVIS LINESCAN (GYROS)</t>
  </si>
  <si>
    <t>1 ACS LINESCAN
1 CaSSIS Stellar Calibration
2 NOMAD FREQSCAN</t>
  </si>
  <si>
    <t>12 NOMAD limb</t>
  </si>
  <si>
    <t>4 Phobos/Deimos tracking (UVIS)</t>
  </si>
  <si>
    <t>2 CASSIS night-side limb
2 NOMAD limb</t>
  </si>
  <si>
    <t>2 CASSIS night-side limb
8-9 NOMAD limb</t>
  </si>
  <si>
    <t>2 CASSIS night-side limb
7 NOMAD limb</t>
  </si>
  <si>
    <t>5-6 NOMAD limb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</si>
</sst>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 (Body)_x0000_"/>
    </font>
    <font>
      <sz val="12"/>
      <color theme="1"/>
      <name val="Calibri (Body)"/>
    </font>
    <font>
      <sz val="11"/>
      <color theme="1"/>
      <name val="Calibri"/>
      <family val="2"/>
      <scheme val="minor"/>
    </font>
    <font>
      <sz val="11"/>
      <color theme="1"/>
      <name val="Calibri (Body)_x0000_"/>
    </font>
    <font>
      <sz val="9"/>
      <color theme="1"/>
      <name val="Calibri"/>
      <family val="2"/>
      <scheme val="minor"/>
    </font>
    <font>
      <sz val="9"/>
      <color theme="1"/>
      <name val="Calibri (Body)"/>
    </font>
    <font>
      <sz val="10"/>
      <color theme="1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 (Body)"/>
      <charset val="1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E320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3"/>
  <sheetViews>
    <sheetView tabSelected="1" zoomScaleNormal="100" workbookViewId="0">
      <pane ySplit="1" topLeftCell="A444" activePane="bottomLeft" state="frozen"/>
      <selection pane="bottomLeft" activeCell="K453" sqref="K453"/>
    </sheetView>
  </sheetViews>
  <sheetFormatPr defaultColWidth="11" defaultRowHeight="15.75"/>
  <cols>
    <col min="1" max="1" width="5.5" customWidth="1"/>
    <col min="2" max="3" width="10.875" style="3"/>
    <col min="4" max="4" width="13.5" style="1" bestFit="1" customWidth="1"/>
    <col min="6" max="6" width="30.375" customWidth="1"/>
    <col min="7" max="7" width="29" customWidth="1"/>
    <col min="8" max="8" width="31.25" customWidth="1"/>
    <col min="9" max="9" width="29" customWidth="1"/>
  </cols>
  <sheetData>
    <row r="1" spans="1:11">
      <c r="A1" s="1" t="s">
        <v>154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</row>
    <row r="2" spans="1:11">
      <c r="A2" s="7">
        <v>1</v>
      </c>
      <c r="B2" s="7">
        <v>1</v>
      </c>
      <c r="C2" s="1">
        <v>1</v>
      </c>
      <c r="D2" s="1" t="s">
        <v>25</v>
      </c>
      <c r="E2" s="1">
        <v>1</v>
      </c>
      <c r="F2" s="8" t="s">
        <v>126</v>
      </c>
      <c r="G2" s="1"/>
      <c r="H2" s="1"/>
      <c r="I2" s="1"/>
      <c r="J2" s="1"/>
      <c r="K2" s="1"/>
    </row>
    <row r="3" spans="1:11">
      <c r="A3" s="7"/>
      <c r="B3" s="7"/>
      <c r="C3" s="1">
        <v>2</v>
      </c>
      <c r="D3" s="1" t="s">
        <v>33</v>
      </c>
      <c r="E3" s="1">
        <v>0</v>
      </c>
      <c r="F3" s="8"/>
      <c r="G3" s="1"/>
      <c r="H3" s="1"/>
      <c r="I3" s="1"/>
      <c r="J3" s="1"/>
      <c r="K3" s="1"/>
    </row>
    <row r="4" spans="1:11">
      <c r="A4" s="7"/>
      <c r="B4" s="7"/>
      <c r="C4" s="1">
        <v>3</v>
      </c>
      <c r="D4" s="1" t="s">
        <v>41</v>
      </c>
      <c r="E4" s="1">
        <v>1</v>
      </c>
      <c r="F4" s="8"/>
      <c r="G4" s="1"/>
      <c r="H4" s="1"/>
      <c r="I4" s="1"/>
      <c r="J4" s="1"/>
      <c r="K4" s="1"/>
    </row>
    <row r="5" spans="1:11">
      <c r="A5" s="7"/>
      <c r="B5" s="7"/>
      <c r="C5" s="1">
        <v>4</v>
      </c>
      <c r="D5" s="1" t="s">
        <v>41</v>
      </c>
      <c r="E5" s="1">
        <v>2</v>
      </c>
      <c r="F5" s="8"/>
      <c r="G5" s="1"/>
      <c r="H5" s="1"/>
      <c r="I5" s="1"/>
      <c r="J5" s="1"/>
      <c r="K5" s="1"/>
    </row>
    <row r="6" spans="1:11">
      <c r="A6" s="7"/>
      <c r="B6" s="7">
        <v>2</v>
      </c>
      <c r="C6" s="1">
        <v>5</v>
      </c>
      <c r="D6" s="1" t="s">
        <v>33</v>
      </c>
      <c r="E6" s="1">
        <v>1</v>
      </c>
      <c r="F6" s="8" t="s">
        <v>142</v>
      </c>
      <c r="G6" s="1"/>
      <c r="H6" s="1"/>
      <c r="I6" s="1"/>
      <c r="J6" s="1"/>
      <c r="K6" s="1"/>
    </row>
    <row r="7" spans="1:11">
      <c r="A7" s="7"/>
      <c r="B7" s="7"/>
      <c r="C7" s="1">
        <v>6</v>
      </c>
      <c r="D7" s="1" t="s">
        <v>33</v>
      </c>
      <c r="E7" s="1">
        <v>1</v>
      </c>
      <c r="F7" s="8"/>
      <c r="G7" s="1"/>
      <c r="H7" s="1"/>
      <c r="I7" s="1"/>
      <c r="J7" s="1"/>
      <c r="K7" s="1"/>
    </row>
    <row r="8" spans="1:11">
      <c r="A8" s="7"/>
      <c r="B8" s="7"/>
      <c r="C8" s="1">
        <v>7</v>
      </c>
      <c r="D8" s="1" t="s">
        <v>25</v>
      </c>
      <c r="E8" s="1">
        <v>0</v>
      </c>
      <c r="F8" s="8"/>
      <c r="G8" s="1"/>
      <c r="H8" s="1"/>
      <c r="I8" s="1"/>
      <c r="J8" s="1"/>
      <c r="K8" s="1"/>
    </row>
    <row r="9" spans="1:11">
      <c r="A9" s="7"/>
      <c r="B9" s="7"/>
      <c r="C9" s="1">
        <v>8</v>
      </c>
      <c r="D9" s="1" t="s">
        <v>25</v>
      </c>
      <c r="E9" s="1">
        <v>0</v>
      </c>
      <c r="F9" s="8"/>
      <c r="G9" s="1"/>
      <c r="H9" s="1"/>
      <c r="I9" s="1"/>
      <c r="J9" s="1"/>
      <c r="K9" s="1"/>
    </row>
    <row r="10" spans="1:11">
      <c r="A10" s="7"/>
      <c r="B10" s="7">
        <v>3</v>
      </c>
      <c r="C10" s="1">
        <v>9</v>
      </c>
      <c r="D10" s="1" t="s">
        <v>33</v>
      </c>
      <c r="E10" s="1">
        <v>1</v>
      </c>
      <c r="F10" s="8" t="s">
        <v>125</v>
      </c>
      <c r="G10" s="1"/>
      <c r="H10" s="1"/>
      <c r="I10" s="1"/>
      <c r="J10" s="1"/>
      <c r="K10" s="1"/>
    </row>
    <row r="11" spans="1:11">
      <c r="A11" s="7"/>
      <c r="B11" s="7"/>
      <c r="C11" s="1">
        <v>10</v>
      </c>
      <c r="D11" s="1" t="s">
        <v>33</v>
      </c>
      <c r="E11" s="1">
        <v>1</v>
      </c>
      <c r="F11" s="8"/>
      <c r="G11" s="1"/>
      <c r="H11" s="1"/>
      <c r="I11" s="1"/>
      <c r="J11" s="1"/>
      <c r="K11" s="1"/>
    </row>
    <row r="12" spans="1:11">
      <c r="A12" s="7"/>
      <c r="B12" s="7"/>
      <c r="C12" s="1">
        <v>11</v>
      </c>
      <c r="D12" s="1" t="s">
        <v>41</v>
      </c>
      <c r="E12" s="1">
        <v>1</v>
      </c>
      <c r="F12" s="8"/>
      <c r="G12" s="1"/>
      <c r="H12" s="1"/>
      <c r="I12" s="1"/>
      <c r="J12" s="1"/>
      <c r="K12" s="1"/>
    </row>
    <row r="13" spans="1:11">
      <c r="A13" s="7"/>
      <c r="B13" s="7"/>
      <c r="C13" s="1">
        <v>12</v>
      </c>
      <c r="D13" s="1" t="s">
        <v>41</v>
      </c>
      <c r="E13" s="1">
        <v>1</v>
      </c>
      <c r="F13" s="8"/>
      <c r="G13" s="1"/>
      <c r="H13" s="1"/>
      <c r="I13" s="1"/>
      <c r="J13" s="1"/>
      <c r="K13" s="1"/>
    </row>
    <row r="14" spans="1:11">
      <c r="A14" s="7"/>
      <c r="B14" s="7">
        <v>4</v>
      </c>
      <c r="C14" s="1">
        <v>13</v>
      </c>
      <c r="D14" s="1" t="s">
        <v>33</v>
      </c>
      <c r="E14" s="1">
        <v>1</v>
      </c>
      <c r="F14" s="8" t="s">
        <v>127</v>
      </c>
      <c r="G14" s="1"/>
      <c r="H14" s="1"/>
      <c r="I14" s="1"/>
      <c r="J14" s="1"/>
      <c r="K14" s="1"/>
    </row>
    <row r="15" spans="1:11">
      <c r="A15" s="7"/>
      <c r="B15" s="7"/>
      <c r="C15" s="1">
        <v>14</v>
      </c>
      <c r="D15" s="1" t="s">
        <v>25</v>
      </c>
      <c r="E15" s="1">
        <v>1</v>
      </c>
      <c r="F15" s="8"/>
      <c r="G15" s="1"/>
      <c r="H15" s="1"/>
      <c r="I15" s="1"/>
      <c r="J15" s="1"/>
      <c r="K15" s="1"/>
    </row>
    <row r="16" spans="1:11">
      <c r="A16" s="7"/>
      <c r="B16" s="7"/>
      <c r="C16" s="1">
        <v>15</v>
      </c>
      <c r="D16" s="1" t="s">
        <v>25</v>
      </c>
      <c r="E16" s="1">
        <v>0</v>
      </c>
      <c r="F16" s="8"/>
      <c r="G16" s="1"/>
      <c r="H16" s="1"/>
      <c r="I16" s="1"/>
      <c r="J16" s="1"/>
      <c r="K16" s="1"/>
    </row>
    <row r="17" spans="1:11">
      <c r="A17" s="7"/>
      <c r="B17" s="7"/>
      <c r="C17" s="1">
        <v>16</v>
      </c>
      <c r="D17" s="1" t="s">
        <v>25</v>
      </c>
      <c r="E17" s="1">
        <v>0</v>
      </c>
      <c r="F17" s="8"/>
      <c r="G17" s="1"/>
      <c r="H17" s="1"/>
      <c r="I17" s="1"/>
      <c r="J17" s="1"/>
      <c r="K17" s="1"/>
    </row>
    <row r="18" spans="1:11">
      <c r="A18" s="7">
        <v>2</v>
      </c>
      <c r="B18" s="7">
        <v>5</v>
      </c>
      <c r="C18" s="1">
        <v>17</v>
      </c>
      <c r="D18" s="7" t="s">
        <v>33</v>
      </c>
      <c r="E18" s="1">
        <v>0</v>
      </c>
      <c r="F18" s="8" t="s">
        <v>110</v>
      </c>
      <c r="G18" s="1"/>
      <c r="H18" s="1"/>
      <c r="I18" s="1"/>
      <c r="J18" s="1"/>
      <c r="K18" s="1"/>
    </row>
    <row r="19" spans="1:11">
      <c r="A19" s="7"/>
      <c r="B19" s="7"/>
      <c r="C19" s="1">
        <v>18</v>
      </c>
      <c r="D19" s="7"/>
      <c r="E19" s="1">
        <v>1</v>
      </c>
      <c r="F19" s="8"/>
      <c r="G19" s="1"/>
      <c r="H19" s="1"/>
      <c r="I19" s="1"/>
      <c r="J19" s="1"/>
      <c r="K19" s="1"/>
    </row>
    <row r="20" spans="1:11">
      <c r="A20" s="7"/>
      <c r="B20" s="7"/>
      <c r="C20" s="1">
        <v>19</v>
      </c>
      <c r="D20" s="7"/>
      <c r="E20" s="1">
        <v>1</v>
      </c>
      <c r="F20" s="8"/>
      <c r="G20" s="1"/>
      <c r="H20" s="1"/>
      <c r="I20" s="1"/>
      <c r="J20" s="1"/>
      <c r="K20" s="1"/>
    </row>
    <row r="21" spans="1:11">
      <c r="A21" s="7"/>
      <c r="B21" s="7"/>
      <c r="C21" s="1">
        <v>20</v>
      </c>
      <c r="D21" s="7"/>
      <c r="E21" s="1">
        <v>0</v>
      </c>
      <c r="F21" s="8"/>
      <c r="G21" s="1"/>
      <c r="H21" s="1"/>
      <c r="I21" s="1"/>
      <c r="J21" s="1"/>
      <c r="K21" s="1"/>
    </row>
    <row r="22" spans="1:11">
      <c r="A22" s="7"/>
      <c r="B22" s="7">
        <v>6</v>
      </c>
      <c r="C22" s="1">
        <f>C21+1</f>
        <v>21</v>
      </c>
      <c r="D22" s="1" t="s">
        <v>25</v>
      </c>
      <c r="E22" s="1">
        <v>1</v>
      </c>
      <c r="F22" s="8" t="s">
        <v>108</v>
      </c>
      <c r="G22" s="1"/>
      <c r="H22" s="1"/>
      <c r="I22" s="1"/>
      <c r="J22" s="1"/>
      <c r="K22" s="1"/>
    </row>
    <row r="23" spans="1:11">
      <c r="A23" s="7"/>
      <c r="B23" s="7"/>
      <c r="C23" s="1">
        <f t="shared" ref="C23:C86" si="0">C22+1</f>
        <v>22</v>
      </c>
      <c r="D23" s="1" t="s">
        <v>25</v>
      </c>
      <c r="E23" s="1">
        <v>1</v>
      </c>
      <c r="F23" s="8"/>
      <c r="G23" s="1"/>
      <c r="H23" s="1"/>
      <c r="I23" s="1"/>
      <c r="J23" s="1"/>
      <c r="K23" s="1"/>
    </row>
    <row r="24" spans="1:11">
      <c r="A24" s="7"/>
      <c r="B24" s="7"/>
      <c r="C24" s="1">
        <f t="shared" si="0"/>
        <v>23</v>
      </c>
      <c r="D24" s="1" t="s">
        <v>33</v>
      </c>
      <c r="E24" s="1">
        <v>1</v>
      </c>
      <c r="F24" s="8"/>
      <c r="G24" s="1"/>
      <c r="H24" s="1"/>
      <c r="I24" s="1"/>
      <c r="J24" s="1"/>
      <c r="K24" s="1"/>
    </row>
    <row r="25" spans="1:11">
      <c r="A25" s="7"/>
      <c r="B25" s="7"/>
      <c r="C25" s="1">
        <f t="shared" si="0"/>
        <v>24</v>
      </c>
      <c r="D25" s="1" t="s">
        <v>33</v>
      </c>
      <c r="E25" s="1">
        <v>1</v>
      </c>
      <c r="F25" s="8"/>
      <c r="G25" s="1"/>
      <c r="H25" s="1"/>
      <c r="I25" s="1"/>
      <c r="J25" s="1"/>
      <c r="K25" s="1"/>
    </row>
    <row r="26" spans="1:11">
      <c r="A26" s="7"/>
      <c r="B26" s="7">
        <v>7</v>
      </c>
      <c r="C26" s="1">
        <f t="shared" si="0"/>
        <v>25</v>
      </c>
      <c r="D26" s="2" t="s">
        <v>41</v>
      </c>
      <c r="E26" s="1">
        <v>1</v>
      </c>
      <c r="F26" s="8" t="s">
        <v>109</v>
      </c>
      <c r="G26" s="1"/>
      <c r="H26" s="1"/>
      <c r="I26" s="1"/>
      <c r="J26" s="1"/>
      <c r="K26" s="1"/>
    </row>
    <row r="27" spans="1:11">
      <c r="A27" s="7"/>
      <c r="B27" s="7"/>
      <c r="C27" s="1">
        <f t="shared" si="0"/>
        <v>26</v>
      </c>
      <c r="D27" s="2" t="s">
        <v>41</v>
      </c>
      <c r="E27" s="1">
        <v>1</v>
      </c>
      <c r="F27" s="8"/>
      <c r="G27" s="1"/>
      <c r="H27" s="1"/>
      <c r="I27" s="1"/>
      <c r="J27" s="1"/>
      <c r="K27" s="1"/>
    </row>
    <row r="28" spans="1:11">
      <c r="A28" s="7"/>
      <c r="B28" s="7"/>
      <c r="C28" s="1">
        <f t="shared" si="0"/>
        <v>27</v>
      </c>
      <c r="D28" s="1" t="s">
        <v>33</v>
      </c>
      <c r="E28" s="1">
        <v>1</v>
      </c>
      <c r="F28" s="8"/>
      <c r="G28" s="1"/>
      <c r="H28" s="1"/>
      <c r="I28" s="1"/>
      <c r="J28" s="1"/>
      <c r="K28" s="1"/>
    </row>
    <row r="29" spans="1:11">
      <c r="A29" s="7"/>
      <c r="B29" s="7"/>
      <c r="C29" s="1">
        <f t="shared" si="0"/>
        <v>28</v>
      </c>
      <c r="D29" s="1" t="s">
        <v>33</v>
      </c>
      <c r="E29" s="1">
        <v>1</v>
      </c>
      <c r="F29" s="8"/>
      <c r="G29" s="1"/>
      <c r="H29" s="1"/>
      <c r="I29" s="1"/>
      <c r="J29" s="1"/>
      <c r="K29" s="1"/>
    </row>
    <row r="30" spans="1:11">
      <c r="A30" s="7"/>
      <c r="B30" s="7">
        <v>8</v>
      </c>
      <c r="C30" s="1">
        <f t="shared" si="0"/>
        <v>29</v>
      </c>
      <c r="D30" s="1" t="s">
        <v>25</v>
      </c>
      <c r="E30" s="1">
        <v>1</v>
      </c>
      <c r="F30" s="8" t="s">
        <v>109</v>
      </c>
      <c r="G30" s="1"/>
      <c r="H30" s="1"/>
      <c r="I30" s="1"/>
      <c r="J30" s="1"/>
      <c r="K30" s="1"/>
    </row>
    <row r="31" spans="1:11">
      <c r="A31" s="7"/>
      <c r="B31" s="7"/>
      <c r="C31" s="1">
        <f t="shared" si="0"/>
        <v>30</v>
      </c>
      <c r="D31" s="1" t="s">
        <v>25</v>
      </c>
      <c r="E31" s="1">
        <v>1</v>
      </c>
      <c r="F31" s="8"/>
      <c r="G31" s="1"/>
      <c r="H31" s="1"/>
      <c r="I31" s="1"/>
      <c r="J31" s="1"/>
      <c r="K31" s="1"/>
    </row>
    <row r="32" spans="1:11">
      <c r="A32" s="7"/>
      <c r="B32" s="7"/>
      <c r="C32" s="1">
        <f t="shared" si="0"/>
        <v>31</v>
      </c>
      <c r="D32" s="1" t="s">
        <v>33</v>
      </c>
      <c r="E32" s="1">
        <v>1</v>
      </c>
      <c r="F32" s="8"/>
      <c r="G32" s="1"/>
      <c r="H32" s="1"/>
      <c r="I32" s="1"/>
      <c r="J32" s="1"/>
      <c r="K32" s="1"/>
    </row>
    <row r="33" spans="1:11">
      <c r="A33" s="7"/>
      <c r="B33" s="7"/>
      <c r="C33" s="1">
        <f t="shared" si="0"/>
        <v>32</v>
      </c>
      <c r="D33" s="1" t="s">
        <v>33</v>
      </c>
      <c r="E33" s="1">
        <v>1</v>
      </c>
      <c r="F33" s="8"/>
      <c r="G33" s="1"/>
      <c r="H33" s="1"/>
      <c r="I33" s="1"/>
      <c r="J33" s="1"/>
      <c r="K33" s="1"/>
    </row>
    <row r="34" spans="1:11">
      <c r="A34" s="7"/>
      <c r="B34" s="7">
        <v>9</v>
      </c>
      <c r="C34" s="1">
        <f t="shared" si="0"/>
        <v>33</v>
      </c>
      <c r="D34" s="1" t="s">
        <v>33</v>
      </c>
      <c r="E34" s="1">
        <v>1</v>
      </c>
      <c r="F34" s="8" t="s">
        <v>184</v>
      </c>
      <c r="G34" s="1"/>
      <c r="H34" s="1"/>
      <c r="I34" s="1"/>
      <c r="J34" s="1"/>
      <c r="K34" s="1"/>
    </row>
    <row r="35" spans="1:11">
      <c r="A35" s="7"/>
      <c r="B35" s="7"/>
      <c r="C35" s="1">
        <f t="shared" si="0"/>
        <v>34</v>
      </c>
      <c r="D35" s="1" t="s">
        <v>33</v>
      </c>
      <c r="E35" s="1">
        <v>1</v>
      </c>
      <c r="F35" s="8"/>
      <c r="G35" s="1"/>
      <c r="H35" s="1"/>
      <c r="I35" s="1"/>
      <c r="J35" s="1"/>
      <c r="K35" s="1"/>
    </row>
    <row r="36" spans="1:11">
      <c r="A36" s="7"/>
      <c r="B36" s="7"/>
      <c r="C36" s="1">
        <f t="shared" si="0"/>
        <v>35</v>
      </c>
      <c r="D36" s="1" t="s">
        <v>33</v>
      </c>
      <c r="E36" s="1">
        <v>1</v>
      </c>
      <c r="F36" s="8"/>
      <c r="G36" s="1"/>
      <c r="H36" s="1"/>
      <c r="I36" s="1"/>
      <c r="J36" s="1"/>
      <c r="K36" s="1"/>
    </row>
    <row r="37" spans="1:11">
      <c r="A37" s="7"/>
      <c r="B37" s="7"/>
      <c r="C37" s="1">
        <f t="shared" si="0"/>
        <v>36</v>
      </c>
      <c r="D37" s="1" t="s">
        <v>25</v>
      </c>
      <c r="E37" s="1">
        <v>1</v>
      </c>
      <c r="F37" s="8"/>
      <c r="G37" s="1"/>
      <c r="H37" s="1"/>
      <c r="I37" s="1"/>
      <c r="J37" s="1"/>
      <c r="K37" s="1"/>
    </row>
    <row r="38" spans="1:11">
      <c r="A38" s="7"/>
      <c r="B38" s="7">
        <v>10</v>
      </c>
      <c r="C38" s="1">
        <f t="shared" si="0"/>
        <v>37</v>
      </c>
      <c r="D38" s="1" t="s">
        <v>25</v>
      </c>
      <c r="E38" s="1">
        <v>1</v>
      </c>
      <c r="F38" s="8" t="s">
        <v>131</v>
      </c>
      <c r="G38" s="1"/>
      <c r="H38" s="1"/>
      <c r="I38" s="1"/>
      <c r="J38" s="1"/>
      <c r="K38" s="1"/>
    </row>
    <row r="39" spans="1:11">
      <c r="A39" s="7"/>
      <c r="B39" s="7"/>
      <c r="C39" s="1">
        <f t="shared" si="0"/>
        <v>38</v>
      </c>
      <c r="D39" s="1" t="s">
        <v>33</v>
      </c>
      <c r="E39" s="1">
        <v>1</v>
      </c>
      <c r="F39" s="8"/>
      <c r="G39" s="1"/>
      <c r="H39" s="1"/>
      <c r="I39" s="1"/>
      <c r="J39" s="1"/>
      <c r="K39" s="1"/>
    </row>
    <row r="40" spans="1:11">
      <c r="A40" s="7"/>
      <c r="B40" s="7"/>
      <c r="C40" s="1">
        <f t="shared" si="0"/>
        <v>39</v>
      </c>
      <c r="D40" s="1" t="s">
        <v>33</v>
      </c>
      <c r="E40" s="1">
        <v>1</v>
      </c>
      <c r="F40" s="8"/>
      <c r="G40" s="1"/>
      <c r="H40" s="1"/>
      <c r="I40" s="1"/>
      <c r="J40" s="1"/>
      <c r="K40" s="1"/>
    </row>
    <row r="41" spans="1:11">
      <c r="A41" s="7"/>
      <c r="B41" s="7"/>
      <c r="C41" s="1">
        <f t="shared" si="0"/>
        <v>40</v>
      </c>
      <c r="D41" s="2" t="s">
        <v>41</v>
      </c>
      <c r="E41" s="1">
        <v>1</v>
      </c>
      <c r="F41" s="8"/>
      <c r="G41" s="1"/>
      <c r="H41" s="1"/>
      <c r="I41" s="1"/>
      <c r="J41" s="1"/>
      <c r="K41" s="1"/>
    </row>
    <row r="42" spans="1:11" ht="17.25" customHeight="1">
      <c r="A42" s="7">
        <v>3</v>
      </c>
      <c r="B42" s="7">
        <v>11</v>
      </c>
      <c r="C42" s="1">
        <f t="shared" si="0"/>
        <v>41</v>
      </c>
      <c r="D42" s="2" t="s">
        <v>41</v>
      </c>
      <c r="E42" s="1">
        <v>1</v>
      </c>
      <c r="F42" s="12" t="s">
        <v>130</v>
      </c>
      <c r="G42" s="1"/>
      <c r="H42" s="1"/>
      <c r="I42" s="1"/>
      <c r="J42" s="1"/>
      <c r="K42" s="1"/>
    </row>
    <row r="43" spans="1:11">
      <c r="A43" s="7"/>
      <c r="B43" s="7"/>
      <c r="C43" s="1">
        <f t="shared" si="0"/>
        <v>42</v>
      </c>
      <c r="D43" s="1" t="s">
        <v>33</v>
      </c>
      <c r="E43" s="1">
        <v>1</v>
      </c>
      <c r="F43" s="12"/>
      <c r="G43" s="1"/>
      <c r="H43" s="1"/>
      <c r="I43" s="1"/>
      <c r="J43" s="1"/>
      <c r="K43" s="1"/>
    </row>
    <row r="44" spans="1:11">
      <c r="A44" s="7"/>
      <c r="B44" s="7"/>
      <c r="C44" s="1">
        <f t="shared" si="0"/>
        <v>43</v>
      </c>
      <c r="D44" s="1" t="s">
        <v>25</v>
      </c>
      <c r="E44" s="1">
        <v>1</v>
      </c>
      <c r="F44" s="12"/>
      <c r="G44" s="1"/>
      <c r="H44" s="1"/>
      <c r="I44" s="1"/>
      <c r="J44" s="1"/>
      <c r="K44" s="1"/>
    </row>
    <row r="45" spans="1:11">
      <c r="A45" s="7"/>
      <c r="B45" s="7"/>
      <c r="C45" s="1">
        <f t="shared" si="0"/>
        <v>44</v>
      </c>
      <c r="D45" s="1" t="s">
        <v>25</v>
      </c>
      <c r="E45" s="1">
        <v>1</v>
      </c>
      <c r="F45" s="12"/>
      <c r="G45" s="1"/>
      <c r="H45" s="1"/>
      <c r="I45" s="1"/>
      <c r="J45" s="1"/>
      <c r="K45" s="1"/>
    </row>
    <row r="46" spans="1:11" ht="15.95" customHeight="1">
      <c r="A46" s="7"/>
      <c r="B46" s="7">
        <v>12</v>
      </c>
      <c r="C46" s="1">
        <f t="shared" si="0"/>
        <v>45</v>
      </c>
      <c r="D46" s="1" t="s">
        <v>25</v>
      </c>
      <c r="E46" s="1">
        <v>1</v>
      </c>
      <c r="F46" s="12" t="s">
        <v>130</v>
      </c>
      <c r="G46" s="1"/>
      <c r="H46" s="1"/>
      <c r="I46" s="1"/>
      <c r="J46" s="1"/>
      <c r="K46" s="1"/>
    </row>
    <row r="47" spans="1:11">
      <c r="A47" s="7"/>
      <c r="B47" s="7"/>
      <c r="C47" s="1">
        <f t="shared" si="0"/>
        <v>46</v>
      </c>
      <c r="D47" s="1" t="s">
        <v>33</v>
      </c>
      <c r="E47" s="1">
        <v>1</v>
      </c>
      <c r="F47" s="12"/>
      <c r="G47" s="1"/>
      <c r="H47" s="1"/>
      <c r="I47" s="1"/>
      <c r="J47" s="1"/>
      <c r="K47" s="1"/>
    </row>
    <row r="48" spans="1:11">
      <c r="A48" s="7"/>
      <c r="B48" s="7"/>
      <c r="C48" s="1">
        <f t="shared" si="0"/>
        <v>47</v>
      </c>
      <c r="D48" s="1" t="s">
        <v>33</v>
      </c>
      <c r="E48" s="1">
        <v>1</v>
      </c>
      <c r="F48" s="12"/>
      <c r="G48" s="1"/>
      <c r="H48" s="1"/>
      <c r="I48" s="1"/>
      <c r="J48" s="1"/>
      <c r="K48" s="1"/>
    </row>
    <row r="49" spans="1:11">
      <c r="A49" s="7"/>
      <c r="B49" s="7"/>
      <c r="C49" s="1">
        <f t="shared" si="0"/>
        <v>48</v>
      </c>
      <c r="D49" s="2" t="s">
        <v>41</v>
      </c>
      <c r="E49" s="1">
        <v>1</v>
      </c>
      <c r="F49" s="12"/>
      <c r="G49" s="1"/>
      <c r="H49" s="1"/>
      <c r="I49" s="1"/>
      <c r="J49" s="1"/>
      <c r="K49" s="1"/>
    </row>
    <row r="50" spans="1:11" ht="17.25" customHeight="1">
      <c r="A50" s="7"/>
      <c r="B50" s="7">
        <v>13</v>
      </c>
      <c r="C50" s="1">
        <f t="shared" si="0"/>
        <v>49</v>
      </c>
      <c r="D50" s="2" t="s">
        <v>41</v>
      </c>
      <c r="E50" s="1">
        <v>1</v>
      </c>
      <c r="F50" s="12" t="s">
        <v>129</v>
      </c>
      <c r="G50" s="1"/>
      <c r="H50" s="1"/>
      <c r="I50" s="1"/>
      <c r="J50" s="1"/>
      <c r="K50" s="1"/>
    </row>
    <row r="51" spans="1:11">
      <c r="A51" s="7"/>
      <c r="B51" s="7"/>
      <c r="C51" s="1">
        <f t="shared" si="0"/>
        <v>50</v>
      </c>
      <c r="D51" s="1" t="s">
        <v>33</v>
      </c>
      <c r="E51" s="1">
        <v>1</v>
      </c>
      <c r="F51" s="12"/>
      <c r="G51" s="1"/>
      <c r="H51" s="1"/>
      <c r="I51" s="1"/>
      <c r="J51" s="1"/>
      <c r="K51" s="1"/>
    </row>
    <row r="52" spans="1:11">
      <c r="A52" s="7"/>
      <c r="B52" s="7"/>
      <c r="C52" s="1">
        <f t="shared" si="0"/>
        <v>51</v>
      </c>
      <c r="D52" s="1" t="s">
        <v>25</v>
      </c>
      <c r="E52" s="1">
        <v>1</v>
      </c>
      <c r="F52" s="12"/>
      <c r="G52" s="1"/>
      <c r="H52" s="1"/>
      <c r="I52" s="1"/>
      <c r="J52" s="1"/>
      <c r="K52" s="1"/>
    </row>
    <row r="53" spans="1:11">
      <c r="A53" s="7"/>
      <c r="B53" s="7"/>
      <c r="C53" s="1">
        <f t="shared" si="0"/>
        <v>52</v>
      </c>
      <c r="D53" s="1" t="s">
        <v>25</v>
      </c>
      <c r="E53" s="1">
        <v>1</v>
      </c>
      <c r="F53" s="12"/>
      <c r="G53" s="1"/>
      <c r="H53" s="1"/>
      <c r="I53" s="1"/>
      <c r="J53" s="1"/>
      <c r="K53" s="1"/>
    </row>
    <row r="54" spans="1:11">
      <c r="A54" s="7"/>
      <c r="B54" s="7">
        <v>14</v>
      </c>
      <c r="C54" s="1">
        <f t="shared" si="0"/>
        <v>53</v>
      </c>
      <c r="D54" s="1" t="s">
        <v>33</v>
      </c>
      <c r="E54" s="1">
        <v>2</v>
      </c>
      <c r="F54" s="12" t="s">
        <v>129</v>
      </c>
      <c r="G54" s="7" t="s">
        <v>8</v>
      </c>
      <c r="H54" s="1"/>
      <c r="I54" s="1"/>
      <c r="J54" s="1"/>
      <c r="K54" s="1"/>
    </row>
    <row r="55" spans="1:11">
      <c r="A55" s="7"/>
      <c r="B55" s="7"/>
      <c r="C55" s="1">
        <f t="shared" si="0"/>
        <v>54</v>
      </c>
      <c r="D55" s="1" t="s">
        <v>33</v>
      </c>
      <c r="E55" s="1">
        <v>2</v>
      </c>
      <c r="F55" s="12"/>
      <c r="G55" s="7"/>
      <c r="H55" s="1"/>
      <c r="I55" s="1"/>
      <c r="J55" s="1"/>
      <c r="K55" s="1"/>
    </row>
    <row r="56" spans="1:11">
      <c r="A56" s="7"/>
      <c r="B56" s="7"/>
      <c r="C56" s="1">
        <f t="shared" si="0"/>
        <v>55</v>
      </c>
      <c r="D56" s="1" t="s">
        <v>41</v>
      </c>
      <c r="E56" s="1">
        <v>2</v>
      </c>
      <c r="F56" s="12"/>
      <c r="G56" s="7"/>
      <c r="H56" s="1"/>
      <c r="I56" s="1"/>
      <c r="J56" s="1"/>
      <c r="K56" s="1"/>
    </row>
    <row r="57" spans="1:11">
      <c r="A57" s="7"/>
      <c r="B57" s="7"/>
      <c r="C57" s="1">
        <f t="shared" si="0"/>
        <v>56</v>
      </c>
      <c r="D57" s="1" t="s">
        <v>33</v>
      </c>
      <c r="E57" s="1">
        <v>2</v>
      </c>
      <c r="F57" s="12"/>
      <c r="G57" s="7"/>
      <c r="H57" s="1"/>
      <c r="I57" s="1"/>
      <c r="J57" s="1"/>
      <c r="K57" s="1"/>
    </row>
    <row r="58" spans="1:11" ht="15.95" customHeight="1">
      <c r="A58" s="7"/>
      <c r="B58" s="7">
        <v>15</v>
      </c>
      <c r="C58" s="1">
        <f t="shared" si="0"/>
        <v>57</v>
      </c>
      <c r="D58" s="1" t="s">
        <v>33</v>
      </c>
      <c r="E58" s="1">
        <v>2</v>
      </c>
      <c r="F58" s="8" t="s">
        <v>128</v>
      </c>
      <c r="G58" s="7" t="s">
        <v>8</v>
      </c>
      <c r="H58" s="1"/>
      <c r="I58" s="1"/>
      <c r="J58" s="1"/>
      <c r="K58" s="1"/>
    </row>
    <row r="59" spans="1:11">
      <c r="A59" s="7"/>
      <c r="B59" s="7"/>
      <c r="C59" s="1">
        <f t="shared" si="0"/>
        <v>58</v>
      </c>
      <c r="D59" s="1" t="s">
        <v>33</v>
      </c>
      <c r="E59" s="1">
        <v>2</v>
      </c>
      <c r="F59" s="8"/>
      <c r="G59" s="7"/>
      <c r="H59" s="1"/>
      <c r="I59" s="1"/>
      <c r="J59" s="1"/>
      <c r="K59" s="1"/>
    </row>
    <row r="60" spans="1:11">
      <c r="A60" s="7"/>
      <c r="B60" s="7"/>
      <c r="C60" s="1">
        <f t="shared" si="0"/>
        <v>59</v>
      </c>
      <c r="D60" s="1" t="s">
        <v>25</v>
      </c>
      <c r="E60" s="1">
        <v>2</v>
      </c>
      <c r="F60" s="8"/>
      <c r="G60" s="7"/>
      <c r="H60" s="1"/>
      <c r="I60" s="1"/>
      <c r="J60" s="1"/>
      <c r="K60" s="1"/>
    </row>
    <row r="61" spans="1:11">
      <c r="A61" s="7"/>
      <c r="B61" s="7"/>
      <c r="C61" s="1">
        <f t="shared" si="0"/>
        <v>60</v>
      </c>
      <c r="D61" s="1" t="s">
        <v>25</v>
      </c>
      <c r="E61" s="1">
        <v>2</v>
      </c>
      <c r="F61" s="8"/>
      <c r="G61" s="7"/>
      <c r="H61" s="1"/>
      <c r="I61" s="1"/>
      <c r="J61" s="1"/>
      <c r="K61" s="1"/>
    </row>
    <row r="62" spans="1:11">
      <c r="A62" s="7"/>
      <c r="B62" s="7">
        <v>16</v>
      </c>
      <c r="C62" s="1">
        <f t="shared" si="0"/>
        <v>61</v>
      </c>
      <c r="D62" s="1" t="s">
        <v>33</v>
      </c>
      <c r="E62" s="1">
        <v>1</v>
      </c>
      <c r="F62" s="8" t="s">
        <v>9</v>
      </c>
      <c r="G62" s="1"/>
      <c r="H62" s="1"/>
      <c r="I62" s="1"/>
      <c r="J62" s="1"/>
      <c r="K62" s="1"/>
    </row>
    <row r="63" spans="1:11">
      <c r="A63" s="7"/>
      <c r="B63" s="7"/>
      <c r="C63" s="1">
        <f t="shared" si="0"/>
        <v>62</v>
      </c>
      <c r="D63" s="1" t="s">
        <v>41</v>
      </c>
      <c r="E63" s="1">
        <v>1</v>
      </c>
      <c r="F63" s="8"/>
      <c r="G63" s="1"/>
      <c r="H63" s="1"/>
      <c r="I63" s="1"/>
      <c r="J63" s="1"/>
      <c r="K63" s="1"/>
    </row>
    <row r="64" spans="1:11">
      <c r="A64" s="7"/>
      <c r="B64" s="7"/>
      <c r="C64" s="1">
        <f t="shared" si="0"/>
        <v>63</v>
      </c>
      <c r="D64" s="1" t="s">
        <v>41</v>
      </c>
      <c r="E64" s="1">
        <v>1</v>
      </c>
      <c r="F64" s="8"/>
      <c r="G64" s="1"/>
      <c r="H64" s="1"/>
      <c r="I64" s="1"/>
      <c r="J64" s="1"/>
      <c r="K64" s="1"/>
    </row>
    <row r="65" spans="1:11">
      <c r="A65" s="7"/>
      <c r="B65" s="7"/>
      <c r="C65" s="1">
        <f t="shared" si="0"/>
        <v>64</v>
      </c>
      <c r="D65" s="1" t="s">
        <v>41</v>
      </c>
      <c r="E65" s="1">
        <v>1</v>
      </c>
      <c r="F65" s="8"/>
      <c r="G65" s="1"/>
      <c r="H65" s="1"/>
      <c r="I65" s="1"/>
      <c r="J65" s="1"/>
      <c r="K65" s="1"/>
    </row>
    <row r="66" spans="1:11">
      <c r="A66" s="7">
        <v>4</v>
      </c>
      <c r="B66" s="7">
        <v>17</v>
      </c>
      <c r="C66" s="1">
        <f t="shared" si="0"/>
        <v>65</v>
      </c>
      <c r="D66" s="1" t="s">
        <v>41</v>
      </c>
      <c r="E66" s="1">
        <v>2</v>
      </c>
      <c r="F66" s="8" t="s">
        <v>112</v>
      </c>
      <c r="G66" s="8" t="s">
        <v>10</v>
      </c>
      <c r="H66" s="1"/>
      <c r="I66" s="1"/>
      <c r="J66" s="1"/>
      <c r="K66" s="1"/>
    </row>
    <row r="67" spans="1:11">
      <c r="A67" s="7"/>
      <c r="B67" s="7"/>
      <c r="C67" s="1">
        <f t="shared" si="0"/>
        <v>66</v>
      </c>
      <c r="D67" s="1" t="s">
        <v>33</v>
      </c>
      <c r="E67" s="1">
        <v>2</v>
      </c>
      <c r="F67" s="8"/>
      <c r="G67" s="8"/>
      <c r="H67" s="1"/>
      <c r="I67" s="1"/>
      <c r="J67" s="1"/>
      <c r="K67" s="1"/>
    </row>
    <row r="68" spans="1:11">
      <c r="A68" s="7"/>
      <c r="B68" s="7"/>
      <c r="C68" s="1">
        <f t="shared" si="0"/>
        <v>67</v>
      </c>
      <c r="D68" s="1" t="s">
        <v>25</v>
      </c>
      <c r="E68" s="1">
        <v>2</v>
      </c>
      <c r="F68" s="8"/>
      <c r="G68" s="8"/>
      <c r="H68" s="1"/>
      <c r="I68" s="1"/>
      <c r="J68" s="1"/>
      <c r="K68" s="1"/>
    </row>
    <row r="69" spans="1:11">
      <c r="A69" s="7"/>
      <c r="B69" s="7"/>
      <c r="C69" s="1">
        <f t="shared" si="0"/>
        <v>68</v>
      </c>
      <c r="D69" s="1" t="s">
        <v>25</v>
      </c>
      <c r="E69" s="1">
        <v>2</v>
      </c>
      <c r="F69" s="8"/>
      <c r="G69" s="8"/>
      <c r="H69" s="1"/>
      <c r="I69" s="1"/>
      <c r="J69" s="1"/>
      <c r="K69" s="1"/>
    </row>
    <row r="70" spans="1:11">
      <c r="A70" s="7"/>
      <c r="B70" s="7">
        <v>18</v>
      </c>
      <c r="C70" s="1">
        <f t="shared" si="0"/>
        <v>69</v>
      </c>
      <c r="D70" s="1" t="s">
        <v>25</v>
      </c>
      <c r="E70" s="1">
        <v>2</v>
      </c>
      <c r="F70" s="8" t="s">
        <v>111</v>
      </c>
      <c r="G70" s="8" t="s">
        <v>11</v>
      </c>
      <c r="H70" s="1"/>
      <c r="I70" s="1"/>
      <c r="J70" s="1"/>
      <c r="K70" s="1"/>
    </row>
    <row r="71" spans="1:11">
      <c r="A71" s="7"/>
      <c r="B71" s="7"/>
      <c r="C71" s="1">
        <f t="shared" si="0"/>
        <v>70</v>
      </c>
      <c r="D71" s="1" t="s">
        <v>33</v>
      </c>
      <c r="E71" s="1">
        <v>2</v>
      </c>
      <c r="F71" s="8"/>
      <c r="G71" s="8"/>
      <c r="H71" s="1"/>
      <c r="I71" s="1"/>
      <c r="J71" s="1"/>
      <c r="K71" s="1"/>
    </row>
    <row r="72" spans="1:11">
      <c r="A72" s="7"/>
      <c r="B72" s="7"/>
      <c r="C72" s="24">
        <f t="shared" si="0"/>
        <v>71</v>
      </c>
      <c r="D72" s="1" t="s">
        <v>33</v>
      </c>
      <c r="E72" s="1">
        <v>0</v>
      </c>
      <c r="F72" s="8"/>
      <c r="G72" s="8"/>
      <c r="H72" s="1"/>
      <c r="I72" s="1"/>
      <c r="J72" s="1"/>
      <c r="K72" s="1"/>
    </row>
    <row r="73" spans="1:11">
      <c r="A73" s="7"/>
      <c r="B73" s="7"/>
      <c r="C73" s="24">
        <f t="shared" si="0"/>
        <v>72</v>
      </c>
      <c r="D73" s="1" t="s">
        <v>33</v>
      </c>
      <c r="E73" s="1">
        <v>0</v>
      </c>
      <c r="F73" s="8"/>
      <c r="G73" s="8"/>
      <c r="H73" s="1"/>
      <c r="I73" s="1"/>
      <c r="J73" s="1"/>
      <c r="K73" s="1"/>
    </row>
    <row r="74" spans="1:11" ht="15.95" customHeight="1">
      <c r="A74" s="7"/>
      <c r="B74" s="7">
        <v>19</v>
      </c>
      <c r="C74" s="24">
        <f t="shared" si="0"/>
        <v>73</v>
      </c>
      <c r="D74" s="1" t="s">
        <v>33</v>
      </c>
      <c r="E74" s="1">
        <v>0</v>
      </c>
      <c r="F74" s="8" t="s">
        <v>132</v>
      </c>
      <c r="G74" s="8" t="s">
        <v>12</v>
      </c>
      <c r="H74" s="1"/>
      <c r="I74" s="1"/>
      <c r="J74" s="1"/>
      <c r="K74" s="1"/>
    </row>
    <row r="75" spans="1:11">
      <c r="A75" s="7"/>
      <c r="B75" s="7"/>
      <c r="C75" s="1">
        <f t="shared" si="0"/>
        <v>74</v>
      </c>
      <c r="D75" s="1" t="s">
        <v>25</v>
      </c>
      <c r="E75" s="1">
        <v>2</v>
      </c>
      <c r="F75" s="8"/>
      <c r="G75" s="8"/>
      <c r="H75" s="1"/>
      <c r="I75" s="1"/>
      <c r="J75" s="1"/>
      <c r="K75" s="1"/>
    </row>
    <row r="76" spans="1:11">
      <c r="A76" s="7"/>
      <c r="B76" s="7"/>
      <c r="C76" s="1">
        <f t="shared" si="0"/>
        <v>75</v>
      </c>
      <c r="D76" s="1" t="s">
        <v>25</v>
      </c>
      <c r="E76" s="1">
        <v>2</v>
      </c>
      <c r="F76" s="8"/>
      <c r="G76" s="8"/>
      <c r="H76" s="1"/>
      <c r="I76" s="1"/>
      <c r="J76" s="1"/>
      <c r="K76" s="1"/>
    </row>
    <row r="77" spans="1:11">
      <c r="A77" s="7"/>
      <c r="B77" s="7"/>
      <c r="C77" s="1">
        <f t="shared" si="0"/>
        <v>76</v>
      </c>
      <c r="D77" s="1" t="s">
        <v>25</v>
      </c>
      <c r="E77" s="1">
        <v>2</v>
      </c>
      <c r="F77" s="8"/>
      <c r="G77" s="8"/>
      <c r="H77" s="1"/>
      <c r="I77" s="1"/>
      <c r="J77" s="1"/>
      <c r="K77" s="1"/>
    </row>
    <row r="78" spans="1:11">
      <c r="A78" s="7"/>
      <c r="B78" s="7">
        <f>B74+1</f>
        <v>20</v>
      </c>
      <c r="C78" s="1">
        <f t="shared" si="0"/>
        <v>77</v>
      </c>
      <c r="D78" s="1" t="s">
        <v>33</v>
      </c>
      <c r="E78" s="1">
        <v>2</v>
      </c>
      <c r="F78" s="8" t="s">
        <v>113</v>
      </c>
      <c r="G78" s="8" t="s">
        <v>13</v>
      </c>
      <c r="H78" s="1"/>
      <c r="I78" s="1"/>
      <c r="J78" s="1"/>
      <c r="K78" s="1"/>
    </row>
    <row r="79" spans="1:11">
      <c r="A79" s="7"/>
      <c r="B79" s="7"/>
      <c r="C79" s="1">
        <f t="shared" si="0"/>
        <v>78</v>
      </c>
      <c r="D79" s="1" t="s">
        <v>41</v>
      </c>
      <c r="E79" s="1">
        <v>2</v>
      </c>
      <c r="F79" s="8"/>
      <c r="G79" s="8"/>
      <c r="H79" s="1"/>
      <c r="I79" s="1"/>
      <c r="J79" s="1"/>
      <c r="K79" s="1"/>
    </row>
    <row r="80" spans="1:11">
      <c r="A80" s="7"/>
      <c r="B80" s="7"/>
      <c r="C80" s="1">
        <f t="shared" si="0"/>
        <v>79</v>
      </c>
      <c r="D80" s="1" t="s">
        <v>41</v>
      </c>
      <c r="E80" s="1">
        <v>2</v>
      </c>
      <c r="F80" s="8"/>
      <c r="G80" s="8"/>
      <c r="H80" s="1"/>
      <c r="I80" s="1"/>
      <c r="J80" s="1"/>
      <c r="K80" s="1"/>
    </row>
    <row r="81" spans="1:11">
      <c r="A81" s="7"/>
      <c r="B81" s="7"/>
      <c r="C81" s="1">
        <f t="shared" si="0"/>
        <v>80</v>
      </c>
      <c r="D81" s="1" t="s">
        <v>41</v>
      </c>
      <c r="E81" s="1">
        <v>2</v>
      </c>
      <c r="F81" s="8"/>
      <c r="G81" s="8"/>
      <c r="H81" s="1"/>
      <c r="I81" s="1"/>
      <c r="J81" s="1"/>
      <c r="K81" s="1"/>
    </row>
    <row r="82" spans="1:11">
      <c r="A82" s="7"/>
      <c r="B82" s="7">
        <f t="shared" ref="B82:B142" si="1">B78+1</f>
        <v>21</v>
      </c>
      <c r="C82" s="1">
        <f t="shared" si="0"/>
        <v>81</v>
      </c>
      <c r="D82" s="1" t="s">
        <v>41</v>
      </c>
      <c r="E82" s="1">
        <v>2</v>
      </c>
      <c r="F82" s="8" t="s">
        <v>133</v>
      </c>
      <c r="G82" s="8" t="s">
        <v>10</v>
      </c>
      <c r="H82" s="1"/>
      <c r="I82" s="1"/>
      <c r="J82" s="1"/>
      <c r="K82" s="1"/>
    </row>
    <row r="83" spans="1:11">
      <c r="A83" s="7"/>
      <c r="B83" s="7"/>
      <c r="C83" s="1">
        <f t="shared" si="0"/>
        <v>82</v>
      </c>
      <c r="D83" s="1" t="s">
        <v>33</v>
      </c>
      <c r="E83" s="1">
        <v>2</v>
      </c>
      <c r="F83" s="8"/>
      <c r="G83" s="8"/>
      <c r="H83" s="1"/>
      <c r="I83" s="1"/>
      <c r="J83" s="1"/>
      <c r="K83" s="1"/>
    </row>
    <row r="84" spans="1:11">
      <c r="A84" s="7"/>
      <c r="B84" s="7"/>
      <c r="C84" s="1">
        <f t="shared" si="0"/>
        <v>83</v>
      </c>
      <c r="D84" s="1" t="s">
        <v>25</v>
      </c>
      <c r="E84" s="1">
        <v>2</v>
      </c>
      <c r="F84" s="8"/>
      <c r="G84" s="8"/>
      <c r="H84" s="1"/>
      <c r="I84" s="1"/>
      <c r="J84" s="1"/>
      <c r="K84" s="1"/>
    </row>
    <row r="85" spans="1:11">
      <c r="A85" s="7"/>
      <c r="B85" s="7"/>
      <c r="C85" s="1">
        <f t="shared" si="0"/>
        <v>84</v>
      </c>
      <c r="D85" s="1" t="s">
        <v>25</v>
      </c>
      <c r="E85" s="1">
        <v>2</v>
      </c>
      <c r="F85" s="8"/>
      <c r="G85" s="8"/>
      <c r="H85" s="1"/>
      <c r="I85" s="1"/>
      <c r="J85" s="1"/>
      <c r="K85" s="1"/>
    </row>
    <row r="86" spans="1:11">
      <c r="A86" s="7"/>
      <c r="B86" s="7">
        <f t="shared" si="1"/>
        <v>22</v>
      </c>
      <c r="C86" s="1">
        <f t="shared" si="0"/>
        <v>85</v>
      </c>
      <c r="D86" s="7" t="s">
        <v>33</v>
      </c>
      <c r="E86" s="1">
        <v>2</v>
      </c>
      <c r="F86" s="8" t="s">
        <v>115</v>
      </c>
      <c r="G86" s="8" t="s">
        <v>11</v>
      </c>
      <c r="H86" s="1"/>
      <c r="I86" s="1"/>
      <c r="J86" s="1"/>
      <c r="K86" s="1"/>
    </row>
    <row r="87" spans="1:11">
      <c r="A87" s="7"/>
      <c r="B87" s="7"/>
      <c r="C87" s="25">
        <f t="shared" ref="C87:C150" si="2">C86+1</f>
        <v>86</v>
      </c>
      <c r="D87" s="7"/>
      <c r="E87" s="1">
        <v>0</v>
      </c>
      <c r="F87" s="8"/>
      <c r="G87" s="8"/>
      <c r="H87" s="1"/>
      <c r="I87" s="1"/>
      <c r="J87" s="1"/>
      <c r="K87" s="1"/>
    </row>
    <row r="88" spans="1:11">
      <c r="A88" s="7"/>
      <c r="B88" s="7"/>
      <c r="C88" s="1">
        <f t="shared" si="2"/>
        <v>87</v>
      </c>
      <c r="D88" s="7"/>
      <c r="E88" s="1">
        <v>2</v>
      </c>
      <c r="F88" s="8"/>
      <c r="G88" s="8"/>
      <c r="H88" s="1"/>
      <c r="I88" s="1"/>
      <c r="J88" s="1"/>
      <c r="K88" s="1"/>
    </row>
    <row r="89" spans="1:11">
      <c r="A89" s="7"/>
      <c r="B89" s="7"/>
      <c r="C89" s="1">
        <f t="shared" si="2"/>
        <v>88</v>
      </c>
      <c r="D89" s="7"/>
      <c r="E89" s="1">
        <v>1</v>
      </c>
      <c r="F89" s="8"/>
      <c r="G89" s="8"/>
      <c r="H89" s="1"/>
      <c r="I89" s="1"/>
      <c r="J89" s="1"/>
      <c r="K89" s="1"/>
    </row>
    <row r="90" spans="1:11">
      <c r="A90" s="7">
        <v>5</v>
      </c>
      <c r="B90" s="7">
        <f t="shared" si="1"/>
        <v>23</v>
      </c>
      <c r="C90" s="1">
        <f t="shared" si="2"/>
        <v>89</v>
      </c>
      <c r="D90" s="1" t="s">
        <v>33</v>
      </c>
      <c r="E90" s="1">
        <v>2</v>
      </c>
      <c r="F90" s="8" t="s">
        <v>112</v>
      </c>
      <c r="G90" s="8" t="s">
        <v>10</v>
      </c>
      <c r="H90" s="1"/>
      <c r="I90" s="1"/>
      <c r="J90" s="1"/>
      <c r="K90" s="1"/>
    </row>
    <row r="91" spans="1:11">
      <c r="A91" s="7"/>
      <c r="B91" s="7"/>
      <c r="C91" s="1">
        <f t="shared" si="2"/>
        <v>90</v>
      </c>
      <c r="D91" s="1" t="s">
        <v>25</v>
      </c>
      <c r="E91" s="1">
        <v>2</v>
      </c>
      <c r="F91" s="8"/>
      <c r="G91" s="8"/>
      <c r="H91" s="1"/>
      <c r="I91" s="1"/>
      <c r="J91" s="1"/>
      <c r="K91" s="1"/>
    </row>
    <row r="92" spans="1:11">
      <c r="A92" s="7"/>
      <c r="B92" s="7"/>
      <c r="C92" s="1">
        <f t="shared" si="2"/>
        <v>91</v>
      </c>
      <c r="D92" s="1" t="s">
        <v>25</v>
      </c>
      <c r="E92" s="1">
        <v>2</v>
      </c>
      <c r="F92" s="8"/>
      <c r="G92" s="8"/>
      <c r="H92" s="1"/>
      <c r="I92" s="1"/>
      <c r="J92" s="1"/>
      <c r="K92" s="1"/>
    </row>
    <row r="93" spans="1:11">
      <c r="A93" s="7"/>
      <c r="B93" s="7"/>
      <c r="C93" s="1">
        <f t="shared" si="2"/>
        <v>92</v>
      </c>
      <c r="D93" s="1" t="s">
        <v>25</v>
      </c>
      <c r="E93" s="1">
        <v>2</v>
      </c>
      <c r="F93" s="8"/>
      <c r="G93" s="8"/>
      <c r="H93" s="1"/>
      <c r="I93" s="1"/>
      <c r="J93" s="1"/>
      <c r="K93" s="1"/>
    </row>
    <row r="94" spans="1:11">
      <c r="A94" s="7"/>
      <c r="B94" s="7">
        <f t="shared" si="1"/>
        <v>24</v>
      </c>
      <c r="C94" s="1">
        <f t="shared" si="2"/>
        <v>93</v>
      </c>
      <c r="D94" s="1" t="s">
        <v>33</v>
      </c>
      <c r="E94" s="1">
        <v>2</v>
      </c>
      <c r="F94" s="8" t="s">
        <v>112</v>
      </c>
      <c r="G94" s="8" t="s">
        <v>13</v>
      </c>
      <c r="H94" s="1"/>
      <c r="I94" s="1"/>
      <c r="J94" s="1"/>
      <c r="K94" s="1"/>
    </row>
    <row r="95" spans="1:11">
      <c r="A95" s="7"/>
      <c r="B95" s="7"/>
      <c r="C95" s="1">
        <f t="shared" si="2"/>
        <v>94</v>
      </c>
      <c r="D95" s="1" t="s">
        <v>41</v>
      </c>
      <c r="E95" s="1">
        <v>2</v>
      </c>
      <c r="F95" s="8"/>
      <c r="G95" s="8"/>
      <c r="H95" s="1"/>
      <c r="I95" s="1"/>
      <c r="J95" s="1"/>
      <c r="K95" s="1"/>
    </row>
    <row r="96" spans="1:11">
      <c r="A96" s="7"/>
      <c r="B96" s="7"/>
      <c r="C96" s="1">
        <f t="shared" si="2"/>
        <v>95</v>
      </c>
      <c r="D96" s="1" t="s">
        <v>41</v>
      </c>
      <c r="E96" s="1">
        <v>2</v>
      </c>
      <c r="F96" s="8"/>
      <c r="G96" s="8"/>
      <c r="H96" s="1"/>
      <c r="I96" s="1"/>
      <c r="J96" s="1"/>
      <c r="K96" s="1"/>
    </row>
    <row r="97" spans="1:11">
      <c r="A97" s="7"/>
      <c r="B97" s="7"/>
      <c r="C97" s="1">
        <f t="shared" si="2"/>
        <v>96</v>
      </c>
      <c r="D97" s="1" t="s">
        <v>41</v>
      </c>
      <c r="E97" s="1">
        <v>2</v>
      </c>
      <c r="F97" s="8"/>
      <c r="G97" s="8"/>
      <c r="H97" s="1"/>
      <c r="I97" s="1"/>
      <c r="J97" s="1"/>
      <c r="K97" s="1"/>
    </row>
    <row r="98" spans="1:11">
      <c r="A98" s="7"/>
      <c r="B98" s="7">
        <f t="shared" si="1"/>
        <v>25</v>
      </c>
      <c r="C98" s="1">
        <f t="shared" si="2"/>
        <v>97</v>
      </c>
      <c r="D98" s="1" t="s">
        <v>41</v>
      </c>
      <c r="E98" s="1">
        <v>2</v>
      </c>
      <c r="F98" s="8" t="s">
        <v>107</v>
      </c>
      <c r="G98" s="8" t="s">
        <v>182</v>
      </c>
      <c r="H98" s="1"/>
      <c r="I98" s="1"/>
      <c r="J98" s="1"/>
      <c r="K98" s="1"/>
    </row>
    <row r="99" spans="1:11">
      <c r="A99" s="7"/>
      <c r="B99" s="7"/>
      <c r="C99" s="1">
        <f t="shared" si="2"/>
        <v>98</v>
      </c>
      <c r="D99" s="1" t="s">
        <v>33</v>
      </c>
      <c r="E99" s="1">
        <v>2</v>
      </c>
      <c r="F99" s="8"/>
      <c r="G99" s="8"/>
      <c r="H99" s="1"/>
      <c r="I99" s="1"/>
      <c r="J99" s="1"/>
      <c r="K99" s="1"/>
    </row>
    <row r="100" spans="1:11">
      <c r="A100" s="7"/>
      <c r="B100" s="7"/>
      <c r="C100" s="1">
        <f t="shared" si="2"/>
        <v>99</v>
      </c>
      <c r="D100" s="1" t="s">
        <v>25</v>
      </c>
      <c r="E100" s="1">
        <v>2</v>
      </c>
      <c r="F100" s="8"/>
      <c r="G100" s="8"/>
      <c r="H100" s="1"/>
      <c r="I100" s="1"/>
      <c r="J100" s="1"/>
      <c r="K100" s="1"/>
    </row>
    <row r="101" spans="1:11">
      <c r="A101" s="7"/>
      <c r="B101" s="7"/>
      <c r="C101" s="1">
        <f t="shared" si="2"/>
        <v>100</v>
      </c>
      <c r="D101" s="1" t="s">
        <v>25</v>
      </c>
      <c r="E101" s="1">
        <v>2</v>
      </c>
      <c r="F101" s="8"/>
      <c r="G101" s="8"/>
      <c r="H101" s="1"/>
      <c r="I101" s="1"/>
      <c r="J101" s="1"/>
      <c r="K101" s="1"/>
    </row>
    <row r="102" spans="1:11">
      <c r="A102" s="7"/>
      <c r="B102" s="7">
        <f t="shared" si="1"/>
        <v>26</v>
      </c>
      <c r="C102" s="1">
        <f t="shared" si="2"/>
        <v>101</v>
      </c>
      <c r="D102" s="1" t="s">
        <v>33</v>
      </c>
      <c r="E102" s="1">
        <v>2</v>
      </c>
      <c r="F102" s="8" t="s">
        <v>116</v>
      </c>
      <c r="G102" s="8" t="s">
        <v>18</v>
      </c>
      <c r="H102" s="1"/>
      <c r="I102" s="1"/>
      <c r="J102" s="1"/>
      <c r="K102" s="1"/>
    </row>
    <row r="103" spans="1:11">
      <c r="A103" s="7"/>
      <c r="B103" s="7"/>
      <c r="C103" s="1">
        <f t="shared" si="2"/>
        <v>102</v>
      </c>
      <c r="D103" s="1" t="s">
        <v>41</v>
      </c>
      <c r="E103" s="1">
        <v>1</v>
      </c>
      <c r="F103" s="8"/>
      <c r="G103" s="8"/>
      <c r="H103" s="1"/>
      <c r="I103" s="1"/>
      <c r="J103" s="1"/>
      <c r="K103" s="1"/>
    </row>
    <row r="104" spans="1:11">
      <c r="A104" s="7"/>
      <c r="B104" s="7"/>
      <c r="C104" s="1">
        <f t="shared" si="2"/>
        <v>103</v>
      </c>
      <c r="D104" s="1" t="s">
        <v>41</v>
      </c>
      <c r="E104" s="1">
        <v>2</v>
      </c>
      <c r="F104" s="8"/>
      <c r="G104" s="8"/>
      <c r="H104" s="1"/>
      <c r="I104" s="1"/>
      <c r="J104" s="1"/>
      <c r="K104" s="1"/>
    </row>
    <row r="105" spans="1:11">
      <c r="A105" s="7"/>
      <c r="B105" s="7"/>
      <c r="C105" s="1">
        <f t="shared" si="2"/>
        <v>104</v>
      </c>
      <c r="D105" s="1" t="s">
        <v>41</v>
      </c>
      <c r="E105" s="1">
        <v>2</v>
      </c>
      <c r="F105" s="8"/>
      <c r="G105" s="8"/>
      <c r="H105" s="1"/>
      <c r="I105" s="1"/>
      <c r="J105" s="1"/>
      <c r="K105" s="1"/>
    </row>
    <row r="106" spans="1:11" ht="15.95" customHeight="1">
      <c r="A106" s="7"/>
      <c r="B106" s="7">
        <f t="shared" si="1"/>
        <v>27</v>
      </c>
      <c r="C106" s="1">
        <f t="shared" si="2"/>
        <v>105</v>
      </c>
      <c r="D106" s="1" t="s">
        <v>33</v>
      </c>
      <c r="E106" s="1">
        <v>2</v>
      </c>
      <c r="F106" s="8" t="s">
        <v>117</v>
      </c>
      <c r="G106" s="8" t="s">
        <v>18</v>
      </c>
      <c r="H106" s="1"/>
      <c r="I106" s="1"/>
      <c r="J106" s="1"/>
      <c r="K106" s="1"/>
    </row>
    <row r="107" spans="1:11">
      <c r="A107" s="7"/>
      <c r="B107" s="7"/>
      <c r="C107" s="1">
        <f t="shared" si="2"/>
        <v>106</v>
      </c>
      <c r="D107" s="1" t="s">
        <v>25</v>
      </c>
      <c r="E107" s="1">
        <v>2</v>
      </c>
      <c r="F107" s="8"/>
      <c r="G107" s="8"/>
      <c r="H107" s="1"/>
      <c r="I107" s="1"/>
      <c r="J107" s="1"/>
      <c r="K107" s="1"/>
    </row>
    <row r="108" spans="1:11">
      <c r="A108" s="7"/>
      <c r="B108" s="7"/>
      <c r="C108" s="1">
        <f t="shared" si="2"/>
        <v>107</v>
      </c>
      <c r="D108" s="1" t="s">
        <v>25</v>
      </c>
      <c r="E108" s="1">
        <v>2</v>
      </c>
      <c r="F108" s="8"/>
      <c r="G108" s="8"/>
      <c r="H108" s="1"/>
      <c r="I108" s="1"/>
      <c r="J108" s="1"/>
      <c r="K108" s="1"/>
    </row>
    <row r="109" spans="1:11">
      <c r="A109" s="7"/>
      <c r="B109" s="7"/>
      <c r="C109" s="1">
        <f t="shared" si="2"/>
        <v>108</v>
      </c>
      <c r="D109" s="1" t="s">
        <v>25</v>
      </c>
      <c r="E109" s="1">
        <v>2</v>
      </c>
      <c r="F109" s="8"/>
      <c r="G109" s="8"/>
      <c r="H109" s="1"/>
      <c r="I109" s="1"/>
      <c r="J109" s="1"/>
      <c r="K109" s="1"/>
    </row>
    <row r="110" spans="1:11" ht="15.95" customHeight="1">
      <c r="A110" s="7"/>
      <c r="B110" s="7">
        <f t="shared" si="1"/>
        <v>28</v>
      </c>
      <c r="C110" s="1">
        <f t="shared" si="2"/>
        <v>109</v>
      </c>
      <c r="D110" s="7" t="s">
        <v>33</v>
      </c>
      <c r="E110" s="1">
        <v>2</v>
      </c>
      <c r="F110" s="8" t="s">
        <v>114</v>
      </c>
      <c r="G110" s="8" t="s">
        <v>17</v>
      </c>
      <c r="H110" s="1"/>
      <c r="I110" s="1"/>
      <c r="J110" s="1"/>
      <c r="K110" s="1"/>
    </row>
    <row r="111" spans="1:11">
      <c r="A111" s="7"/>
      <c r="B111" s="7"/>
      <c r="C111" s="25">
        <f t="shared" si="2"/>
        <v>110</v>
      </c>
      <c r="D111" s="7"/>
      <c r="E111" s="1">
        <v>0</v>
      </c>
      <c r="F111" s="8"/>
      <c r="G111" s="8"/>
      <c r="H111" s="1"/>
      <c r="I111" s="1"/>
      <c r="J111" s="1"/>
      <c r="K111" s="1"/>
    </row>
    <row r="112" spans="1:11">
      <c r="A112" s="7"/>
      <c r="B112" s="7"/>
      <c r="C112" s="1">
        <f t="shared" si="2"/>
        <v>111</v>
      </c>
      <c r="D112" s="7"/>
      <c r="E112" s="1">
        <v>2</v>
      </c>
      <c r="F112" s="8"/>
      <c r="G112" s="8"/>
      <c r="H112" s="1"/>
      <c r="I112" s="1"/>
      <c r="J112" s="1"/>
      <c r="K112" s="1"/>
    </row>
    <row r="113" spans="1:11">
      <c r="A113" s="7"/>
      <c r="B113" s="7"/>
      <c r="C113" s="1">
        <f t="shared" si="2"/>
        <v>112</v>
      </c>
      <c r="D113" s="7"/>
      <c r="E113" s="1">
        <v>2</v>
      </c>
      <c r="F113" s="8"/>
      <c r="G113" s="8"/>
      <c r="H113" s="1"/>
      <c r="I113" s="1"/>
      <c r="J113" s="1"/>
      <c r="K113" s="1"/>
    </row>
    <row r="114" spans="1:11">
      <c r="A114" s="7">
        <v>6</v>
      </c>
      <c r="B114" s="7">
        <f t="shared" si="1"/>
        <v>29</v>
      </c>
      <c r="C114" s="1">
        <f t="shared" si="2"/>
        <v>113</v>
      </c>
      <c r="D114" s="1" t="s">
        <v>33</v>
      </c>
      <c r="E114" s="1">
        <v>2</v>
      </c>
      <c r="F114" s="8" t="s">
        <v>118</v>
      </c>
      <c r="G114" s="8" t="s">
        <v>183</v>
      </c>
      <c r="H114" s="1"/>
      <c r="I114" s="1"/>
      <c r="J114" s="1"/>
      <c r="K114" s="1"/>
    </row>
    <row r="115" spans="1:11">
      <c r="A115" s="7"/>
      <c r="B115" s="7"/>
      <c r="C115" s="1">
        <f t="shared" si="2"/>
        <v>114</v>
      </c>
      <c r="D115" s="1" t="s">
        <v>25</v>
      </c>
      <c r="E115" s="1">
        <v>2</v>
      </c>
      <c r="F115" s="8"/>
      <c r="G115" s="8"/>
      <c r="H115" s="1"/>
      <c r="I115" s="1"/>
      <c r="J115" s="1"/>
      <c r="K115" s="1"/>
    </row>
    <row r="116" spans="1:11">
      <c r="A116" s="7"/>
      <c r="B116" s="7"/>
      <c r="C116" s="1">
        <f t="shared" si="2"/>
        <v>115</v>
      </c>
      <c r="D116" s="1" t="s">
        <v>25</v>
      </c>
      <c r="E116" s="1">
        <v>2</v>
      </c>
      <c r="F116" s="8"/>
      <c r="G116" s="8"/>
      <c r="H116" s="1"/>
      <c r="I116" s="1"/>
      <c r="J116" s="1"/>
      <c r="K116" s="1"/>
    </row>
    <row r="117" spans="1:11">
      <c r="A117" s="7"/>
      <c r="B117" s="7"/>
      <c r="C117" s="1">
        <f t="shared" si="2"/>
        <v>116</v>
      </c>
      <c r="D117" s="1" t="s">
        <v>33</v>
      </c>
      <c r="E117" s="1">
        <v>2</v>
      </c>
      <c r="F117" s="8"/>
      <c r="G117" s="8"/>
      <c r="H117" s="1"/>
      <c r="I117" s="1"/>
      <c r="J117" s="1"/>
      <c r="K117" s="1"/>
    </row>
    <row r="118" spans="1:11" ht="15.95" customHeight="1">
      <c r="A118" s="7"/>
      <c r="B118" s="7">
        <f t="shared" si="1"/>
        <v>30</v>
      </c>
      <c r="C118" s="1">
        <f t="shared" si="2"/>
        <v>117</v>
      </c>
      <c r="D118" s="1" t="s">
        <v>33</v>
      </c>
      <c r="E118" s="1">
        <v>2</v>
      </c>
      <c r="F118" s="8" t="s">
        <v>119</v>
      </c>
      <c r="G118" s="8" t="s">
        <v>14</v>
      </c>
      <c r="H118" s="1"/>
      <c r="I118" s="1"/>
      <c r="J118" s="1"/>
      <c r="K118" s="1"/>
    </row>
    <row r="119" spans="1:11">
      <c r="A119" s="7"/>
      <c r="B119" s="7"/>
      <c r="C119" s="1">
        <f t="shared" si="2"/>
        <v>118</v>
      </c>
      <c r="D119" s="1" t="s">
        <v>41</v>
      </c>
      <c r="E119" s="1">
        <v>2</v>
      </c>
      <c r="F119" s="8"/>
      <c r="G119" s="8"/>
      <c r="H119" s="1"/>
      <c r="I119" s="1"/>
      <c r="J119" s="1"/>
      <c r="K119" s="1"/>
    </row>
    <row r="120" spans="1:11">
      <c r="A120" s="7"/>
      <c r="B120" s="7"/>
      <c r="C120" s="1">
        <f t="shared" si="2"/>
        <v>119</v>
      </c>
      <c r="D120" s="1" t="s">
        <v>41</v>
      </c>
      <c r="E120" s="1">
        <v>2</v>
      </c>
      <c r="F120" s="8"/>
      <c r="G120" s="8"/>
      <c r="H120" s="1"/>
      <c r="I120" s="1"/>
      <c r="J120" s="1"/>
      <c r="K120" s="1"/>
    </row>
    <row r="121" spans="1:11">
      <c r="A121" s="7"/>
      <c r="B121" s="7"/>
      <c r="C121" s="1">
        <f t="shared" si="2"/>
        <v>120</v>
      </c>
      <c r="D121" s="1" t="s">
        <v>41</v>
      </c>
      <c r="E121" s="1">
        <v>2</v>
      </c>
      <c r="F121" s="8"/>
      <c r="G121" s="8"/>
      <c r="H121" s="1"/>
      <c r="I121" s="1"/>
      <c r="J121" s="1"/>
      <c r="K121" s="1"/>
    </row>
    <row r="122" spans="1:11">
      <c r="A122" s="7"/>
      <c r="B122" s="7">
        <f t="shared" si="1"/>
        <v>31</v>
      </c>
      <c r="C122" s="1">
        <f t="shared" si="2"/>
        <v>121</v>
      </c>
      <c r="D122" s="1" t="s">
        <v>33</v>
      </c>
      <c r="E122" s="1">
        <v>2</v>
      </c>
      <c r="F122" s="8" t="s">
        <v>120</v>
      </c>
      <c r="G122" s="8" t="s">
        <v>16</v>
      </c>
      <c r="H122" s="1"/>
      <c r="I122" s="1"/>
      <c r="J122" s="1"/>
      <c r="K122" s="1"/>
    </row>
    <row r="123" spans="1:11">
      <c r="A123" s="7"/>
      <c r="B123" s="7"/>
      <c r="C123" s="1">
        <f t="shared" si="2"/>
        <v>122</v>
      </c>
      <c r="D123" s="1" t="s">
        <v>25</v>
      </c>
      <c r="E123" s="1">
        <v>2</v>
      </c>
      <c r="F123" s="8"/>
      <c r="G123" s="8"/>
      <c r="H123" s="1"/>
      <c r="I123" s="1"/>
      <c r="J123" s="1"/>
      <c r="K123" s="1"/>
    </row>
    <row r="124" spans="1:11">
      <c r="A124" s="7"/>
      <c r="B124" s="7"/>
      <c r="C124" s="1">
        <f t="shared" si="2"/>
        <v>123</v>
      </c>
      <c r="D124" s="1" t="s">
        <v>25</v>
      </c>
      <c r="E124" s="1">
        <v>2</v>
      </c>
      <c r="F124" s="8"/>
      <c r="G124" s="8"/>
      <c r="H124" s="1"/>
      <c r="I124" s="1"/>
      <c r="J124" s="1"/>
      <c r="K124" s="1"/>
    </row>
    <row r="125" spans="1:11">
      <c r="A125" s="7"/>
      <c r="B125" s="7"/>
      <c r="C125" s="1">
        <f t="shared" si="2"/>
        <v>124</v>
      </c>
      <c r="D125" s="1" t="s">
        <v>25</v>
      </c>
      <c r="E125" s="1">
        <v>2</v>
      </c>
      <c r="F125" s="8"/>
      <c r="G125" s="8"/>
      <c r="H125" s="1"/>
      <c r="I125" s="1"/>
      <c r="J125" s="1"/>
      <c r="K125" s="1"/>
    </row>
    <row r="126" spans="1:11" ht="15.95" customHeight="1">
      <c r="A126" s="7"/>
      <c r="B126" s="7">
        <f t="shared" si="1"/>
        <v>32</v>
      </c>
      <c r="C126" s="1">
        <f t="shared" si="2"/>
        <v>125</v>
      </c>
      <c r="D126" s="7" t="s">
        <v>33</v>
      </c>
      <c r="E126" s="1">
        <v>2</v>
      </c>
      <c r="F126" s="8" t="s">
        <v>121</v>
      </c>
      <c r="G126" s="8" t="s">
        <v>15</v>
      </c>
      <c r="H126" s="1"/>
      <c r="I126" s="1"/>
      <c r="J126" s="1"/>
      <c r="K126" s="1"/>
    </row>
    <row r="127" spans="1:11">
      <c r="A127" s="7"/>
      <c r="B127" s="7"/>
      <c r="C127" s="1">
        <f t="shared" si="2"/>
        <v>126</v>
      </c>
      <c r="D127" s="7"/>
      <c r="E127" s="1">
        <v>2</v>
      </c>
      <c r="F127" s="8"/>
      <c r="G127" s="8"/>
      <c r="H127" s="1"/>
      <c r="I127" s="1"/>
      <c r="J127" s="1"/>
      <c r="K127" s="1"/>
    </row>
    <row r="128" spans="1:11">
      <c r="A128" s="7"/>
      <c r="B128" s="7"/>
      <c r="C128" s="25">
        <f t="shared" si="2"/>
        <v>127</v>
      </c>
      <c r="D128" s="7"/>
      <c r="E128" s="1">
        <v>0</v>
      </c>
      <c r="F128" s="8"/>
      <c r="G128" s="8"/>
      <c r="H128" s="1"/>
      <c r="I128" s="1"/>
      <c r="J128" s="1"/>
      <c r="K128" s="1"/>
    </row>
    <row r="129" spans="1:11">
      <c r="A129" s="7"/>
      <c r="B129" s="7"/>
      <c r="C129" s="1">
        <f t="shared" si="2"/>
        <v>128</v>
      </c>
      <c r="D129" s="7"/>
      <c r="E129" s="1">
        <v>2</v>
      </c>
      <c r="F129" s="8"/>
      <c r="G129" s="8"/>
      <c r="H129" s="1"/>
      <c r="I129" s="1"/>
      <c r="J129" s="1"/>
      <c r="K129" s="1"/>
    </row>
    <row r="130" spans="1:11">
      <c r="A130" s="7"/>
      <c r="B130" s="7">
        <f t="shared" si="1"/>
        <v>33</v>
      </c>
      <c r="C130" s="1">
        <f t="shared" si="2"/>
        <v>129</v>
      </c>
      <c r="D130" s="1" t="s">
        <v>25</v>
      </c>
      <c r="E130" s="1">
        <v>2</v>
      </c>
      <c r="F130" s="8" t="s">
        <v>118</v>
      </c>
      <c r="G130" s="8" t="s">
        <v>185</v>
      </c>
      <c r="H130" s="1"/>
      <c r="I130" s="1"/>
      <c r="J130" s="1"/>
      <c r="K130" s="1"/>
    </row>
    <row r="131" spans="1:11">
      <c r="A131" s="7"/>
      <c r="B131" s="7"/>
      <c r="C131" s="1">
        <f t="shared" si="2"/>
        <v>130</v>
      </c>
      <c r="D131" s="1" t="s">
        <v>25</v>
      </c>
      <c r="E131" s="1">
        <v>2</v>
      </c>
      <c r="F131" s="8"/>
      <c r="G131" s="8"/>
      <c r="H131" s="1"/>
      <c r="I131" s="1"/>
      <c r="J131" s="1"/>
      <c r="K131" s="1"/>
    </row>
    <row r="132" spans="1:11">
      <c r="A132" s="7"/>
      <c r="B132" s="7"/>
      <c r="C132" s="1">
        <f t="shared" si="2"/>
        <v>131</v>
      </c>
      <c r="D132" s="1" t="s">
        <v>25</v>
      </c>
      <c r="E132" s="1">
        <v>2</v>
      </c>
      <c r="F132" s="8"/>
      <c r="G132" s="8"/>
      <c r="H132" s="1"/>
      <c r="I132" s="1"/>
      <c r="J132" s="1"/>
      <c r="K132" s="1"/>
    </row>
    <row r="133" spans="1:11">
      <c r="A133" s="7"/>
      <c r="B133" s="7"/>
      <c r="C133" s="1">
        <f t="shared" si="2"/>
        <v>132</v>
      </c>
      <c r="D133" s="1" t="s">
        <v>33</v>
      </c>
      <c r="E133" s="1">
        <v>2</v>
      </c>
      <c r="F133" s="8"/>
      <c r="G133" s="8"/>
      <c r="H133" s="1"/>
      <c r="I133" s="1"/>
      <c r="J133" s="1"/>
      <c r="K133" s="1"/>
    </row>
    <row r="134" spans="1:11">
      <c r="A134" s="7"/>
      <c r="B134" s="7">
        <f t="shared" si="1"/>
        <v>34</v>
      </c>
      <c r="C134" s="1">
        <f t="shared" si="2"/>
        <v>133</v>
      </c>
      <c r="D134" s="1" t="s">
        <v>41</v>
      </c>
      <c r="E134" s="1">
        <v>2</v>
      </c>
      <c r="F134" s="8" t="s">
        <v>118</v>
      </c>
      <c r="G134" s="8" t="s">
        <v>14</v>
      </c>
      <c r="H134" s="1"/>
      <c r="I134" s="1"/>
      <c r="J134" s="1"/>
      <c r="K134" s="1"/>
    </row>
    <row r="135" spans="1:11">
      <c r="A135" s="7"/>
      <c r="B135" s="7"/>
      <c r="C135" s="1">
        <f t="shared" si="2"/>
        <v>134</v>
      </c>
      <c r="D135" s="1" t="s">
        <v>41</v>
      </c>
      <c r="E135" s="1">
        <v>2</v>
      </c>
      <c r="F135" s="8"/>
      <c r="G135" s="8"/>
      <c r="H135" s="1"/>
      <c r="I135" s="1"/>
      <c r="J135" s="1"/>
      <c r="K135" s="1"/>
    </row>
    <row r="136" spans="1:11">
      <c r="A136" s="7"/>
      <c r="B136" s="7"/>
      <c r="C136" s="1">
        <f t="shared" si="2"/>
        <v>135</v>
      </c>
      <c r="D136" s="1" t="s">
        <v>41</v>
      </c>
      <c r="E136" s="1">
        <v>2</v>
      </c>
      <c r="F136" s="8"/>
      <c r="G136" s="8"/>
      <c r="H136" s="1"/>
      <c r="I136" s="1"/>
      <c r="J136" s="1"/>
      <c r="K136" s="1"/>
    </row>
    <row r="137" spans="1:11">
      <c r="A137" s="7"/>
      <c r="B137" s="7"/>
      <c r="C137" s="1">
        <f t="shared" si="2"/>
        <v>136</v>
      </c>
      <c r="D137" s="1" t="s">
        <v>33</v>
      </c>
      <c r="E137" s="1">
        <v>2</v>
      </c>
      <c r="F137" s="8"/>
      <c r="G137" s="8"/>
      <c r="H137" s="1"/>
      <c r="I137" s="1"/>
      <c r="J137" s="1"/>
      <c r="K137" s="1"/>
    </row>
    <row r="138" spans="1:11" ht="15.95" customHeight="1">
      <c r="A138" s="7">
        <v>7</v>
      </c>
      <c r="B138" s="7">
        <f t="shared" si="1"/>
        <v>35</v>
      </c>
      <c r="C138" s="1">
        <f t="shared" si="2"/>
        <v>137</v>
      </c>
      <c r="D138" s="1" t="s">
        <v>25</v>
      </c>
      <c r="E138" s="1">
        <v>2</v>
      </c>
      <c r="F138" s="8" t="s">
        <v>122</v>
      </c>
      <c r="G138" s="8" t="s">
        <v>186</v>
      </c>
      <c r="H138" s="1"/>
      <c r="I138" s="1"/>
      <c r="J138" s="1"/>
      <c r="K138" s="1"/>
    </row>
    <row r="139" spans="1:11">
      <c r="A139" s="7"/>
      <c r="B139" s="7"/>
      <c r="C139" s="1">
        <f t="shared" si="2"/>
        <v>138</v>
      </c>
      <c r="D139" s="1" t="s">
        <v>25</v>
      </c>
      <c r="E139" s="1">
        <v>2</v>
      </c>
      <c r="F139" s="8"/>
      <c r="G139" s="8"/>
      <c r="H139" s="1"/>
      <c r="I139" s="1"/>
      <c r="J139" s="1"/>
      <c r="K139" s="1"/>
    </row>
    <row r="140" spans="1:11">
      <c r="A140" s="7"/>
      <c r="B140" s="7"/>
      <c r="C140" s="1">
        <f t="shared" si="2"/>
        <v>139</v>
      </c>
      <c r="D140" s="1" t="s">
        <v>25</v>
      </c>
      <c r="E140" s="1">
        <v>2</v>
      </c>
      <c r="F140" s="8"/>
      <c r="G140" s="8"/>
      <c r="H140" s="1"/>
      <c r="I140" s="1"/>
      <c r="J140" s="1"/>
      <c r="K140" s="1"/>
    </row>
    <row r="141" spans="1:11">
      <c r="A141" s="7"/>
      <c r="B141" s="7"/>
      <c r="C141" s="1">
        <f t="shared" si="2"/>
        <v>140</v>
      </c>
      <c r="D141" s="1" t="s">
        <v>33</v>
      </c>
      <c r="E141" s="1">
        <v>2</v>
      </c>
      <c r="F141" s="8"/>
      <c r="G141" s="8"/>
      <c r="H141" s="1"/>
      <c r="I141" s="1"/>
      <c r="J141" s="1"/>
      <c r="K141" s="1"/>
    </row>
    <row r="142" spans="1:11">
      <c r="A142" s="7"/>
      <c r="B142" s="7">
        <f t="shared" si="1"/>
        <v>36</v>
      </c>
      <c r="C142" s="1">
        <f t="shared" si="2"/>
        <v>141</v>
      </c>
      <c r="D142" s="1" t="s">
        <v>41</v>
      </c>
      <c r="E142" s="1">
        <v>3</v>
      </c>
      <c r="F142" s="8" t="s">
        <v>123</v>
      </c>
      <c r="G142" s="8" t="s">
        <v>19</v>
      </c>
      <c r="H142" s="1"/>
      <c r="I142" s="1"/>
      <c r="J142" s="1"/>
      <c r="K142" s="1"/>
    </row>
    <row r="143" spans="1:11">
      <c r="A143" s="7"/>
      <c r="B143" s="7"/>
      <c r="C143" s="1">
        <f t="shared" si="2"/>
        <v>142</v>
      </c>
      <c r="D143" s="1" t="s">
        <v>41</v>
      </c>
      <c r="E143" s="1">
        <v>3</v>
      </c>
      <c r="F143" s="8"/>
      <c r="G143" s="8"/>
      <c r="H143" s="1"/>
      <c r="I143" s="1"/>
      <c r="J143" s="1"/>
      <c r="K143" s="1"/>
    </row>
    <row r="144" spans="1:11">
      <c r="A144" s="7"/>
      <c r="B144" s="7"/>
      <c r="C144" s="1">
        <f t="shared" si="2"/>
        <v>143</v>
      </c>
      <c r="D144" s="1" t="s">
        <v>33</v>
      </c>
      <c r="E144" s="1">
        <v>3</v>
      </c>
      <c r="F144" s="8"/>
      <c r="G144" s="8"/>
      <c r="H144" s="1"/>
      <c r="I144" s="1"/>
      <c r="J144" s="1"/>
      <c r="K144" s="1"/>
    </row>
    <row r="145" spans="1:11">
      <c r="A145" s="7"/>
      <c r="B145" s="7"/>
      <c r="C145" s="1">
        <f t="shared" si="2"/>
        <v>144</v>
      </c>
      <c r="D145" s="1" t="s">
        <v>33</v>
      </c>
      <c r="E145" s="1">
        <v>3</v>
      </c>
      <c r="F145" s="8"/>
      <c r="G145" s="8"/>
      <c r="H145" s="1"/>
      <c r="I145" s="1"/>
      <c r="J145" s="1"/>
      <c r="K145" s="1"/>
    </row>
    <row r="146" spans="1:11" ht="15.95" customHeight="1">
      <c r="A146" s="7"/>
      <c r="B146" s="7">
        <f t="shared" ref="B146:B166" si="3">B142+1</f>
        <v>37</v>
      </c>
      <c r="C146" s="1">
        <f t="shared" si="2"/>
        <v>145</v>
      </c>
      <c r="D146" s="1" t="s">
        <v>25</v>
      </c>
      <c r="E146" s="1">
        <v>3</v>
      </c>
      <c r="F146" s="8" t="s">
        <v>118</v>
      </c>
      <c r="G146" s="8" t="s">
        <v>187</v>
      </c>
      <c r="H146" s="1"/>
      <c r="I146" s="1"/>
      <c r="J146" s="1"/>
      <c r="K146" s="1"/>
    </row>
    <row r="147" spans="1:11">
      <c r="A147" s="7"/>
      <c r="B147" s="7"/>
      <c r="C147" s="1">
        <f t="shared" si="2"/>
        <v>146</v>
      </c>
      <c r="D147" s="1" t="s">
        <v>25</v>
      </c>
      <c r="E147" s="1">
        <v>3</v>
      </c>
      <c r="F147" s="8"/>
      <c r="G147" s="8"/>
      <c r="H147" s="1"/>
      <c r="I147" s="1"/>
      <c r="J147" s="1"/>
      <c r="K147" s="1"/>
    </row>
    <row r="148" spans="1:11">
      <c r="A148" s="7"/>
      <c r="B148" s="7"/>
      <c r="C148" s="1">
        <f t="shared" si="2"/>
        <v>147</v>
      </c>
      <c r="D148" s="1" t="s">
        <v>25</v>
      </c>
      <c r="E148" s="1">
        <v>3</v>
      </c>
      <c r="F148" s="8"/>
      <c r="G148" s="8"/>
      <c r="H148" s="1"/>
      <c r="I148" s="1"/>
      <c r="J148" s="1"/>
      <c r="K148" s="1"/>
    </row>
    <row r="149" spans="1:11">
      <c r="A149" s="7"/>
      <c r="B149" s="7"/>
      <c r="C149" s="1">
        <f t="shared" si="2"/>
        <v>148</v>
      </c>
      <c r="D149" s="1" t="s">
        <v>33</v>
      </c>
      <c r="E149" s="1">
        <v>3</v>
      </c>
      <c r="F149" s="8"/>
      <c r="G149" s="8"/>
      <c r="H149" s="1"/>
      <c r="I149" s="1"/>
      <c r="J149" s="1"/>
      <c r="K149" s="1"/>
    </row>
    <row r="150" spans="1:11">
      <c r="A150" s="7"/>
      <c r="B150" s="7">
        <f t="shared" si="3"/>
        <v>38</v>
      </c>
      <c r="C150" s="1">
        <f t="shared" si="2"/>
        <v>149</v>
      </c>
      <c r="D150" s="1" t="s">
        <v>41</v>
      </c>
      <c r="E150" s="1">
        <v>3</v>
      </c>
      <c r="F150" s="8" t="s">
        <v>118</v>
      </c>
      <c r="G150" s="8" t="s">
        <v>20</v>
      </c>
      <c r="H150" s="1"/>
      <c r="I150" s="1"/>
      <c r="J150" s="1"/>
      <c r="K150" s="1"/>
    </row>
    <row r="151" spans="1:11">
      <c r="A151" s="7"/>
      <c r="B151" s="7"/>
      <c r="C151" s="1">
        <f t="shared" ref="C151:C169" si="4">C150+1</f>
        <v>150</v>
      </c>
      <c r="D151" s="1" t="s">
        <v>41</v>
      </c>
      <c r="E151" s="1">
        <v>3</v>
      </c>
      <c r="F151" s="8"/>
      <c r="G151" s="8"/>
      <c r="H151" s="1"/>
      <c r="I151" s="1"/>
      <c r="J151" s="1"/>
      <c r="K151" s="1"/>
    </row>
    <row r="152" spans="1:11">
      <c r="A152" s="7"/>
      <c r="B152" s="7"/>
      <c r="C152" s="1">
        <f t="shared" si="4"/>
        <v>151</v>
      </c>
      <c r="D152" s="1" t="s">
        <v>41</v>
      </c>
      <c r="E152" s="1">
        <v>3</v>
      </c>
      <c r="F152" s="8"/>
      <c r="G152" s="8"/>
      <c r="H152" s="1"/>
      <c r="I152" s="1"/>
      <c r="J152" s="1"/>
      <c r="K152" s="1"/>
    </row>
    <row r="153" spans="1:11">
      <c r="A153" s="7"/>
      <c r="B153" s="7"/>
      <c r="C153" s="1">
        <f t="shared" si="4"/>
        <v>152</v>
      </c>
      <c r="D153" s="1" t="s">
        <v>33</v>
      </c>
      <c r="E153" s="1">
        <v>3</v>
      </c>
      <c r="F153" s="8"/>
      <c r="G153" s="8"/>
      <c r="H153" s="1"/>
      <c r="I153" s="1"/>
      <c r="J153" s="1"/>
      <c r="K153" s="1"/>
    </row>
    <row r="154" spans="1:11">
      <c r="A154" s="7"/>
      <c r="B154" s="7">
        <f t="shared" si="3"/>
        <v>39</v>
      </c>
      <c r="C154" s="1">
        <f t="shared" si="4"/>
        <v>153</v>
      </c>
      <c r="D154" s="1" t="s">
        <v>25</v>
      </c>
      <c r="E154" s="1">
        <v>3</v>
      </c>
      <c r="F154" s="8" t="s">
        <v>118</v>
      </c>
      <c r="G154" s="8" t="s">
        <v>21</v>
      </c>
      <c r="H154" s="1"/>
      <c r="I154" s="1"/>
      <c r="J154" s="1"/>
      <c r="K154" s="1"/>
    </row>
    <row r="155" spans="1:11">
      <c r="A155" s="7"/>
      <c r="B155" s="7"/>
      <c r="C155" s="1">
        <f t="shared" si="4"/>
        <v>154</v>
      </c>
      <c r="D155" s="1" t="s">
        <v>25</v>
      </c>
      <c r="E155" s="1">
        <v>3</v>
      </c>
      <c r="F155" s="8"/>
      <c r="G155" s="8"/>
      <c r="H155" s="1"/>
      <c r="I155" s="1"/>
      <c r="J155" s="1"/>
      <c r="K155" s="1"/>
    </row>
    <row r="156" spans="1:11">
      <c r="A156" s="7"/>
      <c r="B156" s="7"/>
      <c r="C156" s="1">
        <f t="shared" si="4"/>
        <v>155</v>
      </c>
      <c r="D156" s="1" t="s">
        <v>25</v>
      </c>
      <c r="E156" s="1">
        <v>3</v>
      </c>
      <c r="F156" s="8"/>
      <c r="G156" s="8"/>
      <c r="H156" s="1"/>
      <c r="I156" s="1"/>
      <c r="J156" s="1"/>
      <c r="K156" s="1"/>
    </row>
    <row r="157" spans="1:11">
      <c r="A157" s="7"/>
      <c r="B157" s="7"/>
      <c r="C157" s="1">
        <f t="shared" si="4"/>
        <v>156</v>
      </c>
      <c r="D157" s="1" t="s">
        <v>33</v>
      </c>
      <c r="E157" s="1">
        <v>3</v>
      </c>
      <c r="F157" s="8"/>
      <c r="G157" s="8"/>
      <c r="H157" s="1"/>
      <c r="I157" s="1"/>
      <c r="J157" s="1"/>
      <c r="K157" s="1"/>
    </row>
    <row r="158" spans="1:11">
      <c r="A158" s="7"/>
      <c r="B158" s="7">
        <f t="shared" si="3"/>
        <v>40</v>
      </c>
      <c r="C158" s="1">
        <f t="shared" si="4"/>
        <v>157</v>
      </c>
      <c r="D158" s="1" t="s">
        <v>41</v>
      </c>
      <c r="E158" s="1">
        <v>3</v>
      </c>
      <c r="F158" s="8" t="s">
        <v>124</v>
      </c>
      <c r="G158" s="8" t="s">
        <v>22</v>
      </c>
      <c r="H158" s="1"/>
      <c r="I158" s="1"/>
      <c r="J158" s="1"/>
      <c r="K158" s="1"/>
    </row>
    <row r="159" spans="1:11">
      <c r="A159" s="7"/>
      <c r="B159" s="7"/>
      <c r="C159" s="1">
        <f t="shared" si="4"/>
        <v>158</v>
      </c>
      <c r="D159" s="1" t="s">
        <v>41</v>
      </c>
      <c r="E159" s="1">
        <v>3</v>
      </c>
      <c r="F159" s="8"/>
      <c r="G159" s="8"/>
      <c r="H159" s="1"/>
      <c r="I159" s="1"/>
      <c r="J159" s="1"/>
      <c r="K159" s="1"/>
    </row>
    <row r="160" spans="1:11">
      <c r="A160" s="7"/>
      <c r="B160" s="7"/>
      <c r="C160" s="1">
        <f t="shared" si="4"/>
        <v>159</v>
      </c>
      <c r="D160" s="1" t="s">
        <v>41</v>
      </c>
      <c r="E160" s="1">
        <v>3</v>
      </c>
      <c r="F160" s="8"/>
      <c r="G160" s="8"/>
      <c r="H160" s="1"/>
      <c r="I160" s="1"/>
      <c r="J160" s="1"/>
      <c r="K160" s="1"/>
    </row>
    <row r="161" spans="1:11">
      <c r="A161" s="7"/>
      <c r="B161" s="7"/>
      <c r="C161" s="1">
        <f t="shared" si="4"/>
        <v>160</v>
      </c>
      <c r="D161" s="1" t="s">
        <v>33</v>
      </c>
      <c r="E161" s="1">
        <v>3</v>
      </c>
      <c r="F161" s="8"/>
      <c r="G161" s="8"/>
      <c r="H161" s="1"/>
      <c r="I161" s="1"/>
      <c r="J161" s="1"/>
      <c r="K161" s="1"/>
    </row>
    <row r="162" spans="1:11">
      <c r="A162" s="7">
        <v>8</v>
      </c>
      <c r="B162" s="7">
        <f t="shared" si="3"/>
        <v>41</v>
      </c>
      <c r="C162" s="1">
        <f t="shared" si="4"/>
        <v>161</v>
      </c>
      <c r="D162" s="1" t="s">
        <v>33</v>
      </c>
      <c r="E162" s="1">
        <v>3</v>
      </c>
      <c r="F162" s="8" t="s">
        <v>118</v>
      </c>
      <c r="G162" s="8" t="s">
        <v>21</v>
      </c>
      <c r="H162" s="1"/>
      <c r="I162" s="1"/>
      <c r="J162" s="1"/>
      <c r="K162" s="1"/>
    </row>
    <row r="163" spans="1:11">
      <c r="A163" s="7"/>
      <c r="B163" s="7"/>
      <c r="C163" s="1">
        <f t="shared" si="4"/>
        <v>162</v>
      </c>
      <c r="D163" s="1" t="s">
        <v>25</v>
      </c>
      <c r="E163" s="1">
        <v>3</v>
      </c>
      <c r="F163" s="8"/>
      <c r="G163" s="8"/>
      <c r="H163" s="1"/>
      <c r="I163" s="1"/>
      <c r="J163" s="1"/>
      <c r="K163" s="1"/>
    </row>
    <row r="164" spans="1:11">
      <c r="A164" s="7"/>
      <c r="B164" s="7"/>
      <c r="C164" s="1">
        <f t="shared" si="4"/>
        <v>163</v>
      </c>
      <c r="D164" s="1" t="s">
        <v>25</v>
      </c>
      <c r="E164" s="1">
        <v>3</v>
      </c>
      <c r="F164" s="8"/>
      <c r="G164" s="8"/>
      <c r="H164" s="1"/>
      <c r="I164" s="1"/>
      <c r="J164" s="1"/>
      <c r="K164" s="1"/>
    </row>
    <row r="165" spans="1:11">
      <c r="A165" s="7"/>
      <c r="B165" s="7"/>
      <c r="C165" s="1">
        <f t="shared" si="4"/>
        <v>164</v>
      </c>
      <c r="D165" s="1" t="s">
        <v>33</v>
      </c>
      <c r="E165" s="1">
        <v>3</v>
      </c>
      <c r="F165" s="8"/>
      <c r="G165" s="8"/>
      <c r="H165" s="1"/>
      <c r="I165" s="1"/>
      <c r="J165" s="1"/>
      <c r="K165" s="1"/>
    </row>
    <row r="166" spans="1:11">
      <c r="A166" s="7"/>
      <c r="B166" s="7">
        <f t="shared" si="3"/>
        <v>42</v>
      </c>
      <c r="C166" s="25">
        <f t="shared" si="4"/>
        <v>165</v>
      </c>
      <c r="D166" s="7" t="s">
        <v>33</v>
      </c>
      <c r="E166" s="1">
        <v>0</v>
      </c>
      <c r="F166" s="8" t="s">
        <v>24</v>
      </c>
      <c r="G166" s="8" t="s">
        <v>106</v>
      </c>
      <c r="H166" s="1"/>
      <c r="I166" s="1"/>
      <c r="J166" s="1"/>
      <c r="K166" s="1"/>
    </row>
    <row r="167" spans="1:11">
      <c r="A167" s="7"/>
      <c r="B167" s="7"/>
      <c r="C167" s="1">
        <f t="shared" si="4"/>
        <v>166</v>
      </c>
      <c r="D167" s="7"/>
      <c r="E167" s="1">
        <v>3</v>
      </c>
      <c r="F167" s="8"/>
      <c r="G167" s="8"/>
      <c r="H167" s="1"/>
      <c r="I167" s="1"/>
      <c r="J167" s="1"/>
      <c r="K167" s="1"/>
    </row>
    <row r="168" spans="1:11">
      <c r="A168" s="7"/>
      <c r="B168" s="7"/>
      <c r="C168" s="25">
        <f t="shared" si="4"/>
        <v>167</v>
      </c>
      <c r="D168" s="7"/>
      <c r="E168" s="1">
        <v>0</v>
      </c>
      <c r="F168" s="8"/>
      <c r="G168" s="8"/>
      <c r="H168" s="1"/>
      <c r="I168" s="1"/>
      <c r="J168" s="1"/>
      <c r="K168" s="1"/>
    </row>
    <row r="169" spans="1:11">
      <c r="A169" s="7"/>
      <c r="B169" s="7"/>
      <c r="C169" s="1">
        <f t="shared" si="4"/>
        <v>168</v>
      </c>
      <c r="D169" s="7"/>
      <c r="E169" s="1">
        <v>3</v>
      </c>
      <c r="F169" s="8"/>
      <c r="G169" s="8"/>
      <c r="H169" s="1"/>
      <c r="I169" s="1"/>
      <c r="J169" s="1"/>
      <c r="K169" s="1"/>
    </row>
    <row r="170" spans="1:11">
      <c r="A170" s="7"/>
      <c r="B170" s="7">
        <v>43</v>
      </c>
      <c r="C170" s="1">
        <v>169</v>
      </c>
      <c r="D170" s="7" t="s">
        <v>25</v>
      </c>
      <c r="E170" s="1">
        <v>3</v>
      </c>
      <c r="F170" s="8" t="s">
        <v>26</v>
      </c>
      <c r="G170" s="8" t="s">
        <v>27</v>
      </c>
      <c r="H170" s="1"/>
      <c r="I170" s="1"/>
      <c r="J170" s="1"/>
      <c r="K170" s="1"/>
    </row>
    <row r="171" spans="1:11">
      <c r="A171" s="7"/>
      <c r="B171" s="7"/>
      <c r="C171" s="1">
        <v>170</v>
      </c>
      <c r="D171" s="7"/>
      <c r="E171" s="1">
        <v>3</v>
      </c>
      <c r="F171" s="7"/>
      <c r="G171" s="7"/>
      <c r="H171" s="1"/>
      <c r="I171" s="1"/>
      <c r="J171" s="1"/>
      <c r="K171" s="1"/>
    </row>
    <row r="172" spans="1:11">
      <c r="A172" s="7"/>
      <c r="B172" s="7"/>
      <c r="C172" s="1">
        <v>171</v>
      </c>
      <c r="D172" s="7"/>
      <c r="E172" s="1">
        <v>3</v>
      </c>
      <c r="F172" s="7"/>
      <c r="G172" s="7"/>
      <c r="H172" s="1"/>
      <c r="I172" s="1"/>
      <c r="J172" s="1"/>
      <c r="K172" s="1"/>
    </row>
    <row r="173" spans="1:11">
      <c r="A173" s="7"/>
      <c r="B173" s="7"/>
      <c r="C173" s="1">
        <v>172</v>
      </c>
      <c r="D173" s="7"/>
      <c r="E173" s="1">
        <v>3</v>
      </c>
      <c r="F173" s="7"/>
      <c r="G173" s="7"/>
      <c r="H173" s="1"/>
      <c r="I173" s="1"/>
      <c r="J173" s="1"/>
      <c r="K173" s="1"/>
    </row>
    <row r="174" spans="1:11">
      <c r="A174" s="7"/>
      <c r="B174" s="7">
        <v>44</v>
      </c>
      <c r="C174" s="1">
        <v>173</v>
      </c>
      <c r="D174" s="8" t="s">
        <v>28</v>
      </c>
      <c r="E174" s="1">
        <v>3</v>
      </c>
      <c r="F174" s="8" t="s">
        <v>29</v>
      </c>
      <c r="G174" s="8" t="s">
        <v>30</v>
      </c>
      <c r="H174" s="1"/>
      <c r="I174" s="1"/>
      <c r="J174" s="1"/>
      <c r="K174" s="1"/>
    </row>
    <row r="175" spans="1:11">
      <c r="A175" s="7"/>
      <c r="B175" s="7"/>
      <c r="C175" s="1">
        <v>174</v>
      </c>
      <c r="D175" s="7"/>
      <c r="E175" s="1">
        <v>3</v>
      </c>
      <c r="F175" s="7"/>
      <c r="G175" s="7"/>
      <c r="H175" s="1"/>
      <c r="I175" s="1"/>
      <c r="J175" s="1"/>
      <c r="K175" s="1"/>
    </row>
    <row r="176" spans="1:11">
      <c r="A176" s="7"/>
      <c r="B176" s="7"/>
      <c r="C176" s="26">
        <v>175</v>
      </c>
      <c r="D176" s="7"/>
      <c r="E176" s="1">
        <v>3</v>
      </c>
      <c r="F176" s="7"/>
      <c r="G176" s="7"/>
      <c r="H176" s="1"/>
      <c r="I176" s="1"/>
      <c r="J176" s="1"/>
      <c r="K176" s="1"/>
    </row>
    <row r="177" spans="1:11">
      <c r="A177" s="7"/>
      <c r="B177" s="7"/>
      <c r="C177" s="26">
        <v>176</v>
      </c>
      <c r="D177" s="7"/>
      <c r="E177" s="1">
        <v>3</v>
      </c>
      <c r="F177" s="7"/>
      <c r="G177" s="7"/>
      <c r="H177" s="1"/>
      <c r="I177" s="1"/>
      <c r="J177" s="1"/>
      <c r="K177" s="1"/>
    </row>
    <row r="178" spans="1:11">
      <c r="A178" s="7"/>
      <c r="B178" s="7">
        <v>45</v>
      </c>
      <c r="C178" s="26">
        <v>177</v>
      </c>
      <c r="D178" s="7" t="s">
        <v>25</v>
      </c>
      <c r="E178" s="1">
        <v>3</v>
      </c>
      <c r="F178" s="8" t="s">
        <v>31</v>
      </c>
      <c r="G178" s="8" t="s">
        <v>32</v>
      </c>
      <c r="H178" s="8" t="s">
        <v>155</v>
      </c>
      <c r="I178" s="1"/>
      <c r="J178" s="1"/>
      <c r="K178" s="1"/>
    </row>
    <row r="179" spans="1:11">
      <c r="A179" s="7"/>
      <c r="B179" s="7"/>
      <c r="C179" s="1">
        <v>178</v>
      </c>
      <c r="D179" s="7"/>
      <c r="E179" s="1">
        <v>3</v>
      </c>
      <c r="F179" s="7"/>
      <c r="G179" s="8"/>
      <c r="H179" s="8"/>
      <c r="I179" s="1"/>
      <c r="J179" s="1"/>
      <c r="K179" s="1"/>
    </row>
    <row r="180" spans="1:11">
      <c r="A180" s="7"/>
      <c r="B180" s="7"/>
      <c r="C180" s="1">
        <v>179</v>
      </c>
      <c r="D180" s="7"/>
      <c r="E180" s="1">
        <v>3</v>
      </c>
      <c r="F180" s="7"/>
      <c r="G180" s="8"/>
      <c r="H180" s="8"/>
      <c r="I180" s="1"/>
      <c r="J180" s="1"/>
      <c r="K180" s="1"/>
    </row>
    <row r="181" spans="1:11">
      <c r="A181" s="7"/>
      <c r="B181" s="7"/>
      <c r="C181" s="1">
        <v>180</v>
      </c>
      <c r="D181" s="7"/>
      <c r="E181" s="1">
        <v>3</v>
      </c>
      <c r="F181" s="7"/>
      <c r="G181" s="8"/>
      <c r="H181" s="8"/>
      <c r="I181" s="1"/>
      <c r="J181" s="1"/>
      <c r="K181" s="1"/>
    </row>
    <row r="182" spans="1:11">
      <c r="A182" s="7"/>
      <c r="B182" s="7">
        <v>46</v>
      </c>
      <c r="C182" s="24">
        <v>181</v>
      </c>
      <c r="D182" s="7" t="s">
        <v>33</v>
      </c>
      <c r="E182" s="1">
        <v>0</v>
      </c>
      <c r="F182" s="7"/>
      <c r="G182" s="7"/>
      <c r="H182" s="7"/>
      <c r="I182" s="1"/>
      <c r="J182" s="1"/>
      <c r="K182" s="1"/>
    </row>
    <row r="183" spans="1:11">
      <c r="A183" s="7"/>
      <c r="B183" s="7"/>
      <c r="C183" s="24">
        <v>182</v>
      </c>
      <c r="D183" s="7"/>
      <c r="E183" s="1">
        <v>0</v>
      </c>
      <c r="F183" s="7"/>
      <c r="G183" s="7"/>
      <c r="H183" s="7"/>
      <c r="I183" s="1"/>
      <c r="J183" s="1"/>
      <c r="K183" s="1"/>
    </row>
    <row r="184" spans="1:11">
      <c r="A184" s="7"/>
      <c r="B184" s="7"/>
      <c r="C184" s="25">
        <v>183</v>
      </c>
      <c r="D184" s="7"/>
      <c r="E184" s="1">
        <v>0</v>
      </c>
      <c r="F184" s="7"/>
      <c r="G184" s="7"/>
      <c r="H184" s="7"/>
      <c r="I184" s="1"/>
      <c r="J184" s="1"/>
      <c r="K184" s="1"/>
    </row>
    <row r="185" spans="1:11">
      <c r="A185" s="7"/>
      <c r="B185" s="7"/>
      <c r="C185" s="25">
        <v>184</v>
      </c>
      <c r="D185" s="7"/>
      <c r="E185" s="1">
        <v>0</v>
      </c>
      <c r="F185" s="7"/>
      <c r="G185" s="7"/>
      <c r="H185" s="7"/>
      <c r="I185" s="1"/>
      <c r="J185" s="1"/>
      <c r="K185" s="1"/>
    </row>
    <row r="186" spans="1:11">
      <c r="A186" s="7">
        <v>9</v>
      </c>
      <c r="B186" s="7">
        <v>47</v>
      </c>
      <c r="C186" s="1">
        <v>185</v>
      </c>
      <c r="D186" s="7" t="s">
        <v>25</v>
      </c>
      <c r="E186" s="1">
        <v>3</v>
      </c>
      <c r="F186" s="8" t="s">
        <v>26</v>
      </c>
      <c r="G186" s="7" t="s">
        <v>34</v>
      </c>
      <c r="H186" s="8" t="s">
        <v>156</v>
      </c>
      <c r="I186" s="1"/>
      <c r="J186" s="1"/>
      <c r="K186" s="1"/>
    </row>
    <row r="187" spans="1:11">
      <c r="A187" s="7"/>
      <c r="B187" s="7"/>
      <c r="C187" s="1">
        <v>186</v>
      </c>
      <c r="D187" s="7"/>
      <c r="E187" s="1">
        <v>3</v>
      </c>
      <c r="F187" s="7"/>
      <c r="G187" s="7"/>
      <c r="H187" s="8"/>
      <c r="I187" s="1"/>
      <c r="J187" s="1"/>
      <c r="K187" s="1"/>
    </row>
    <row r="188" spans="1:11">
      <c r="A188" s="7"/>
      <c r="B188" s="7"/>
      <c r="C188" s="1">
        <v>187</v>
      </c>
      <c r="D188" s="7"/>
      <c r="E188" s="1">
        <v>3</v>
      </c>
      <c r="F188" s="7"/>
      <c r="G188" s="7"/>
      <c r="H188" s="8"/>
      <c r="I188" s="1"/>
      <c r="J188" s="1"/>
      <c r="K188" s="1"/>
    </row>
    <row r="189" spans="1:11">
      <c r="A189" s="7"/>
      <c r="B189" s="7"/>
      <c r="C189" s="1">
        <v>188</v>
      </c>
      <c r="D189" s="7"/>
      <c r="E189" s="1">
        <v>3</v>
      </c>
      <c r="F189" s="7"/>
      <c r="G189" s="7"/>
      <c r="H189" s="8"/>
      <c r="I189" s="1"/>
      <c r="J189" s="1"/>
      <c r="K189" s="1"/>
    </row>
    <row r="190" spans="1:11">
      <c r="A190" s="7"/>
      <c r="B190" s="7">
        <v>48</v>
      </c>
      <c r="C190" s="1">
        <v>189</v>
      </c>
      <c r="D190" s="8" t="s">
        <v>28</v>
      </c>
      <c r="E190" s="1">
        <v>3</v>
      </c>
      <c r="F190" s="8" t="s">
        <v>35</v>
      </c>
      <c r="G190" s="8" t="s">
        <v>36</v>
      </c>
      <c r="H190" s="8" t="s">
        <v>156</v>
      </c>
      <c r="I190" s="1"/>
      <c r="J190" s="1"/>
      <c r="K190" s="1"/>
    </row>
    <row r="191" spans="1:11">
      <c r="A191" s="7"/>
      <c r="B191" s="7"/>
      <c r="C191" s="1">
        <v>190</v>
      </c>
      <c r="D191" s="7"/>
      <c r="E191" s="1">
        <v>3</v>
      </c>
      <c r="F191" s="7"/>
      <c r="G191" s="8"/>
      <c r="H191" s="8"/>
      <c r="I191" s="1"/>
      <c r="J191" s="1"/>
      <c r="K191" s="1"/>
    </row>
    <row r="192" spans="1:11">
      <c r="A192" s="7"/>
      <c r="B192" s="7"/>
      <c r="C192" s="1">
        <v>191</v>
      </c>
      <c r="D192" s="7"/>
      <c r="E192" s="1">
        <v>3</v>
      </c>
      <c r="F192" s="7"/>
      <c r="G192" s="8"/>
      <c r="H192" s="8"/>
      <c r="I192" s="1"/>
      <c r="J192" s="1"/>
      <c r="K192" s="1"/>
    </row>
    <row r="193" spans="1:11">
      <c r="A193" s="7"/>
      <c r="B193" s="7"/>
      <c r="C193" s="1">
        <v>192</v>
      </c>
      <c r="D193" s="7"/>
      <c r="E193" s="1">
        <v>3</v>
      </c>
      <c r="F193" s="7"/>
      <c r="G193" s="8"/>
      <c r="H193" s="8"/>
      <c r="I193" s="1"/>
      <c r="J193" s="1"/>
      <c r="K193" s="1"/>
    </row>
    <row r="194" spans="1:11">
      <c r="A194" s="7"/>
      <c r="B194" s="7">
        <v>49</v>
      </c>
      <c r="C194" s="1">
        <v>193</v>
      </c>
      <c r="D194" s="7" t="s">
        <v>25</v>
      </c>
      <c r="E194" s="1">
        <v>4</v>
      </c>
      <c r="F194" s="8" t="s">
        <v>37</v>
      </c>
      <c r="G194" s="8" t="s">
        <v>38</v>
      </c>
      <c r="H194" s="8" t="s">
        <v>157</v>
      </c>
      <c r="I194" s="1"/>
      <c r="J194" s="1"/>
      <c r="K194" s="1"/>
    </row>
    <row r="195" spans="1:11">
      <c r="A195" s="7"/>
      <c r="B195" s="7"/>
      <c r="C195" s="1">
        <v>194</v>
      </c>
      <c r="D195" s="7"/>
      <c r="E195" s="1">
        <v>4</v>
      </c>
      <c r="F195" s="7"/>
      <c r="G195" s="7"/>
      <c r="H195" s="8"/>
      <c r="I195" s="1"/>
      <c r="J195" s="1"/>
      <c r="K195" s="1"/>
    </row>
    <row r="196" spans="1:11">
      <c r="A196" s="7"/>
      <c r="B196" s="7"/>
      <c r="C196" s="1">
        <v>195</v>
      </c>
      <c r="D196" s="7"/>
      <c r="E196" s="1">
        <v>4</v>
      </c>
      <c r="F196" s="7"/>
      <c r="G196" s="7"/>
      <c r="H196" s="8"/>
      <c r="I196" s="1"/>
      <c r="J196" s="1"/>
      <c r="K196" s="1"/>
    </row>
    <row r="197" spans="1:11">
      <c r="A197" s="7"/>
      <c r="B197" s="7"/>
      <c r="C197" s="1">
        <v>196</v>
      </c>
      <c r="D197" s="7"/>
      <c r="E197" s="1">
        <v>4</v>
      </c>
      <c r="F197" s="7"/>
      <c r="G197" s="7"/>
      <c r="H197" s="8"/>
      <c r="I197" s="1"/>
      <c r="J197" s="1"/>
      <c r="K197" s="1"/>
    </row>
    <row r="198" spans="1:11">
      <c r="A198" s="7"/>
      <c r="B198" s="7">
        <v>50</v>
      </c>
      <c r="C198" s="1">
        <v>197</v>
      </c>
      <c r="D198" s="1" t="s">
        <v>25</v>
      </c>
      <c r="E198" s="1">
        <v>4</v>
      </c>
      <c r="F198" s="8" t="s">
        <v>39</v>
      </c>
      <c r="G198" s="8" t="s">
        <v>40</v>
      </c>
      <c r="H198" s="8" t="s">
        <v>157</v>
      </c>
      <c r="I198" s="1"/>
      <c r="J198" s="1"/>
      <c r="K198" s="1"/>
    </row>
    <row r="199" spans="1:11">
      <c r="A199" s="7"/>
      <c r="B199" s="7"/>
      <c r="C199" s="1">
        <v>198</v>
      </c>
      <c r="D199" s="1" t="s">
        <v>33</v>
      </c>
      <c r="E199" s="1">
        <v>4</v>
      </c>
      <c r="F199" s="7"/>
      <c r="G199" s="7"/>
      <c r="H199" s="8"/>
      <c r="I199" s="1"/>
      <c r="J199" s="1"/>
      <c r="K199" s="1"/>
    </row>
    <row r="200" spans="1:11">
      <c r="A200" s="7"/>
      <c r="B200" s="7"/>
      <c r="C200" s="1">
        <v>199</v>
      </c>
      <c r="D200" s="2" t="s">
        <v>41</v>
      </c>
      <c r="E200" s="1">
        <v>4</v>
      </c>
      <c r="F200" s="7"/>
      <c r="G200" s="7"/>
      <c r="H200" s="8"/>
      <c r="I200" s="1"/>
      <c r="J200" s="1"/>
      <c r="K200" s="1"/>
    </row>
    <row r="201" spans="1:11">
      <c r="A201" s="7"/>
      <c r="B201" s="7"/>
      <c r="C201" s="1">
        <v>200</v>
      </c>
      <c r="D201" s="1" t="s">
        <v>41</v>
      </c>
      <c r="E201" s="1">
        <v>4</v>
      </c>
      <c r="F201" s="7"/>
      <c r="G201" s="7"/>
      <c r="H201" s="8"/>
      <c r="I201" s="1"/>
      <c r="J201" s="1"/>
      <c r="K201" s="1"/>
    </row>
    <row r="202" spans="1:11">
      <c r="A202" s="7"/>
      <c r="B202" s="7">
        <v>51</v>
      </c>
      <c r="C202" s="1">
        <v>201</v>
      </c>
      <c r="D202" s="1" t="s">
        <v>41</v>
      </c>
      <c r="E202" s="1">
        <v>4</v>
      </c>
      <c r="F202" s="8" t="s">
        <v>42</v>
      </c>
      <c r="G202" s="8" t="s">
        <v>40</v>
      </c>
      <c r="H202" s="8" t="s">
        <v>105</v>
      </c>
      <c r="I202" s="1"/>
      <c r="J202" s="1"/>
      <c r="K202" s="1"/>
    </row>
    <row r="203" spans="1:11">
      <c r="A203" s="7"/>
      <c r="B203" s="7"/>
      <c r="C203" s="1">
        <v>202</v>
      </c>
      <c r="D203" s="1" t="s">
        <v>33</v>
      </c>
      <c r="E203" s="1">
        <v>4</v>
      </c>
      <c r="F203" s="7"/>
      <c r="G203" s="7"/>
      <c r="H203" s="8"/>
      <c r="I203" s="1"/>
      <c r="J203" s="1"/>
      <c r="K203" s="1"/>
    </row>
    <row r="204" spans="1:11">
      <c r="A204" s="7"/>
      <c r="B204" s="7"/>
      <c r="C204" s="1">
        <v>203</v>
      </c>
      <c r="D204" s="1" t="s">
        <v>33</v>
      </c>
      <c r="E204" s="1">
        <v>4</v>
      </c>
      <c r="F204" s="7"/>
      <c r="G204" s="7"/>
      <c r="H204" s="8"/>
      <c r="I204" s="1"/>
      <c r="J204" s="1"/>
      <c r="K204" s="1"/>
    </row>
    <row r="205" spans="1:11">
      <c r="A205" s="7"/>
      <c r="B205" s="7"/>
      <c r="C205" s="1">
        <v>204</v>
      </c>
      <c r="D205" s="1" t="s">
        <v>25</v>
      </c>
      <c r="E205" s="1">
        <v>4</v>
      </c>
      <c r="F205" s="7"/>
      <c r="G205" s="7"/>
      <c r="H205" s="8"/>
      <c r="I205" s="1"/>
      <c r="J205" s="1"/>
      <c r="K205" s="1"/>
    </row>
    <row r="206" spans="1:11">
      <c r="A206" s="7"/>
      <c r="B206" s="7">
        <v>52</v>
      </c>
      <c r="C206" s="1">
        <v>205</v>
      </c>
      <c r="D206" s="1" t="s">
        <v>25</v>
      </c>
      <c r="E206" s="1">
        <v>4</v>
      </c>
      <c r="F206" s="8" t="s">
        <v>43</v>
      </c>
      <c r="G206" s="8" t="s">
        <v>44</v>
      </c>
      <c r="H206" s="7" t="s">
        <v>45</v>
      </c>
      <c r="I206" s="1"/>
      <c r="J206" s="1"/>
      <c r="K206" s="1"/>
    </row>
    <row r="207" spans="1:11">
      <c r="A207" s="7"/>
      <c r="B207" s="7"/>
      <c r="C207" s="1">
        <v>206</v>
      </c>
      <c r="D207" s="1" t="s">
        <v>33</v>
      </c>
      <c r="E207" s="1">
        <v>4</v>
      </c>
      <c r="F207" s="7"/>
      <c r="G207" s="7"/>
      <c r="H207" s="7"/>
      <c r="I207" s="1"/>
      <c r="J207" s="1"/>
      <c r="K207" s="1"/>
    </row>
    <row r="208" spans="1:11">
      <c r="A208" s="7"/>
      <c r="B208" s="7"/>
      <c r="C208" s="1">
        <v>207</v>
      </c>
      <c r="D208" s="1" t="s">
        <v>33</v>
      </c>
      <c r="E208" s="1">
        <v>1</v>
      </c>
      <c r="F208" s="7"/>
      <c r="G208" s="7"/>
      <c r="H208" s="7"/>
      <c r="I208" s="1"/>
      <c r="J208" s="1"/>
      <c r="K208" s="1"/>
    </row>
    <row r="209" spans="1:11">
      <c r="A209" s="7"/>
      <c r="B209" s="7"/>
      <c r="C209" s="1">
        <v>208</v>
      </c>
      <c r="D209" s="1" t="s">
        <v>41</v>
      </c>
      <c r="E209" s="1">
        <v>4</v>
      </c>
      <c r="F209" s="7"/>
      <c r="G209" s="7"/>
      <c r="H209" s="7"/>
      <c r="I209" s="1"/>
      <c r="J209" s="1"/>
      <c r="K209" s="1"/>
    </row>
    <row r="210" spans="1:11">
      <c r="A210" s="7">
        <v>10</v>
      </c>
      <c r="B210" s="7">
        <v>53</v>
      </c>
      <c r="C210" s="1">
        <v>209</v>
      </c>
      <c r="D210" s="1" t="s">
        <v>41</v>
      </c>
      <c r="E210" s="1">
        <v>4</v>
      </c>
      <c r="F210" s="8" t="s">
        <v>46</v>
      </c>
      <c r="G210" s="8" t="s">
        <v>47</v>
      </c>
      <c r="H210" s="7" t="s">
        <v>48</v>
      </c>
      <c r="I210" s="1"/>
      <c r="J210" s="1"/>
      <c r="K210" s="1"/>
    </row>
    <row r="211" spans="1:11">
      <c r="A211" s="7"/>
      <c r="B211" s="7"/>
      <c r="C211" s="1">
        <v>210</v>
      </c>
      <c r="D211" s="1" t="s">
        <v>33</v>
      </c>
      <c r="E211" s="1">
        <v>2</v>
      </c>
      <c r="F211" s="7"/>
      <c r="G211" s="7"/>
      <c r="H211" s="7"/>
      <c r="I211" s="1"/>
      <c r="J211" s="1"/>
      <c r="K211" s="1"/>
    </row>
    <row r="212" spans="1:11">
      <c r="A212" s="7"/>
      <c r="B212" s="7"/>
      <c r="C212" s="1">
        <v>211</v>
      </c>
      <c r="D212" s="1" t="s">
        <v>33</v>
      </c>
      <c r="E212" s="1">
        <v>4</v>
      </c>
      <c r="F212" s="7"/>
      <c r="G212" s="7"/>
      <c r="H212" s="7"/>
      <c r="I212" s="1"/>
      <c r="J212" s="1"/>
      <c r="K212" s="1"/>
    </row>
    <row r="213" spans="1:11">
      <c r="A213" s="7"/>
      <c r="B213" s="7"/>
      <c r="C213" s="1">
        <v>212</v>
      </c>
      <c r="D213" s="1" t="s">
        <v>25</v>
      </c>
      <c r="E213" s="1">
        <v>4</v>
      </c>
      <c r="F213" s="7"/>
      <c r="G213" s="7"/>
      <c r="H213" s="7"/>
      <c r="I213" s="1"/>
      <c r="J213" s="1"/>
      <c r="K213" s="1"/>
    </row>
    <row r="214" spans="1:11">
      <c r="A214" s="7"/>
      <c r="B214" s="7">
        <v>54</v>
      </c>
      <c r="C214" s="1">
        <v>213</v>
      </c>
      <c r="D214" s="1" t="s">
        <v>25</v>
      </c>
      <c r="E214" s="1">
        <v>4</v>
      </c>
      <c r="F214" s="8" t="s">
        <v>49</v>
      </c>
      <c r="G214" s="8" t="s">
        <v>50</v>
      </c>
      <c r="H214" s="7" t="s">
        <v>48</v>
      </c>
      <c r="I214" s="1"/>
      <c r="J214" s="1"/>
      <c r="K214" s="1"/>
    </row>
    <row r="215" spans="1:11">
      <c r="A215" s="7"/>
      <c r="B215" s="7"/>
      <c r="C215" s="1">
        <v>214</v>
      </c>
      <c r="D215" s="1" t="s">
        <v>33</v>
      </c>
      <c r="E215" s="1">
        <v>4</v>
      </c>
      <c r="F215" s="7"/>
      <c r="G215" s="7"/>
      <c r="H215" s="7"/>
      <c r="I215" s="1"/>
      <c r="J215" s="1"/>
      <c r="K215" s="1"/>
    </row>
    <row r="216" spans="1:11">
      <c r="A216" s="7"/>
      <c r="B216" s="7"/>
      <c r="C216" s="1">
        <v>215</v>
      </c>
      <c r="D216" s="1" t="s">
        <v>33</v>
      </c>
      <c r="E216" s="1">
        <v>4</v>
      </c>
      <c r="F216" s="7"/>
      <c r="G216" s="7"/>
      <c r="H216" s="7"/>
      <c r="I216" s="1"/>
      <c r="J216" s="1"/>
      <c r="K216" s="1"/>
    </row>
    <row r="217" spans="1:11">
      <c r="A217" s="7"/>
      <c r="B217" s="7"/>
      <c r="C217" s="1">
        <v>216</v>
      </c>
      <c r="D217" s="1" t="s">
        <v>41</v>
      </c>
      <c r="E217" s="1">
        <v>4</v>
      </c>
      <c r="F217" s="7"/>
      <c r="G217" s="7"/>
      <c r="H217" s="7"/>
      <c r="I217" s="1"/>
      <c r="J217" s="1"/>
      <c r="K217" s="1"/>
    </row>
    <row r="218" spans="1:11">
      <c r="A218" s="7"/>
      <c r="B218" s="7">
        <v>55</v>
      </c>
      <c r="C218" s="1">
        <v>217</v>
      </c>
      <c r="D218" s="1" t="s">
        <v>41</v>
      </c>
      <c r="E218" s="1">
        <v>4</v>
      </c>
      <c r="F218" s="8" t="s">
        <v>51</v>
      </c>
      <c r="G218" s="8" t="s">
        <v>47</v>
      </c>
      <c r="H218" s="7" t="s">
        <v>52</v>
      </c>
      <c r="I218" s="1"/>
      <c r="J218" s="1"/>
      <c r="K218" s="1"/>
    </row>
    <row r="219" spans="1:11">
      <c r="A219" s="7"/>
      <c r="B219" s="7"/>
      <c r="C219" s="1">
        <v>218</v>
      </c>
      <c r="D219" s="1" t="s">
        <v>33</v>
      </c>
      <c r="E219" s="1">
        <v>4</v>
      </c>
      <c r="F219" s="7"/>
      <c r="G219" s="7"/>
      <c r="H219" s="7"/>
      <c r="I219" s="1"/>
      <c r="J219" s="1"/>
      <c r="K219" s="1"/>
    </row>
    <row r="220" spans="1:11">
      <c r="A220" s="7"/>
      <c r="B220" s="7"/>
      <c r="C220" s="1">
        <v>219</v>
      </c>
      <c r="D220" s="1" t="s">
        <v>33</v>
      </c>
      <c r="E220" s="1">
        <v>4</v>
      </c>
      <c r="F220" s="7"/>
      <c r="G220" s="7"/>
      <c r="H220" s="7"/>
      <c r="I220" s="1"/>
      <c r="J220" s="1"/>
      <c r="K220" s="1"/>
    </row>
    <row r="221" spans="1:11">
      <c r="A221" s="7"/>
      <c r="B221" s="7"/>
      <c r="C221" s="1">
        <v>220</v>
      </c>
      <c r="D221" s="1" t="s">
        <v>25</v>
      </c>
      <c r="E221" s="1">
        <v>4</v>
      </c>
      <c r="F221" s="7"/>
      <c r="G221" s="7"/>
      <c r="H221" s="7"/>
      <c r="I221" s="1"/>
      <c r="J221" s="1"/>
      <c r="K221" s="1"/>
    </row>
    <row r="222" spans="1:11">
      <c r="A222" s="7"/>
      <c r="B222" s="7">
        <v>56</v>
      </c>
      <c r="C222" s="1">
        <v>221</v>
      </c>
      <c r="D222" s="1" t="s">
        <v>25</v>
      </c>
      <c r="E222" s="1">
        <v>4</v>
      </c>
      <c r="F222" s="8" t="s">
        <v>53</v>
      </c>
      <c r="G222" s="8" t="s">
        <v>47</v>
      </c>
      <c r="H222" s="7" t="s">
        <v>54</v>
      </c>
      <c r="I222" s="1"/>
      <c r="J222" s="1"/>
      <c r="K222" s="1"/>
    </row>
    <row r="223" spans="1:11">
      <c r="A223" s="7"/>
      <c r="B223" s="7"/>
      <c r="C223" s="1">
        <v>222</v>
      </c>
      <c r="D223" s="1" t="s">
        <v>25</v>
      </c>
      <c r="E223" s="1">
        <v>4</v>
      </c>
      <c r="F223" s="7"/>
      <c r="G223" s="7"/>
      <c r="H223" s="7"/>
      <c r="I223" s="1"/>
      <c r="J223" s="1"/>
      <c r="K223" s="1"/>
    </row>
    <row r="224" spans="1:11">
      <c r="A224" s="7"/>
      <c r="B224" s="7"/>
      <c r="C224" s="1">
        <v>223</v>
      </c>
      <c r="D224" s="1" t="s">
        <v>33</v>
      </c>
      <c r="E224" s="1">
        <v>3</v>
      </c>
      <c r="F224" s="7"/>
      <c r="G224" s="7"/>
      <c r="H224" s="7"/>
      <c r="I224" s="1"/>
      <c r="J224" s="1"/>
      <c r="K224" s="1"/>
    </row>
    <row r="225" spans="1:11">
      <c r="A225" s="7"/>
      <c r="B225" s="7"/>
      <c r="C225" s="25">
        <v>224</v>
      </c>
      <c r="D225" s="1" t="s">
        <v>33</v>
      </c>
      <c r="E225" s="1">
        <v>0</v>
      </c>
      <c r="F225" s="7"/>
      <c r="G225" s="7"/>
      <c r="H225" s="7"/>
      <c r="I225" s="1"/>
      <c r="J225" s="1"/>
      <c r="K225" s="1"/>
    </row>
    <row r="226" spans="1:11">
      <c r="A226" s="7"/>
      <c r="B226" s="7">
        <v>57</v>
      </c>
      <c r="C226" s="1">
        <v>225</v>
      </c>
      <c r="D226" s="1" t="s">
        <v>33</v>
      </c>
      <c r="E226" s="1">
        <v>4</v>
      </c>
      <c r="F226" s="8" t="s">
        <v>55</v>
      </c>
      <c r="G226" s="8" t="s">
        <v>56</v>
      </c>
      <c r="H226" s="8" t="s">
        <v>57</v>
      </c>
      <c r="I226" s="1"/>
      <c r="J226" s="1"/>
      <c r="K226" s="1"/>
    </row>
    <row r="227" spans="1:11">
      <c r="A227" s="7"/>
      <c r="B227" s="7"/>
      <c r="C227" s="25">
        <v>226</v>
      </c>
      <c r="D227" s="1" t="s">
        <v>33</v>
      </c>
      <c r="E227" s="1">
        <v>0</v>
      </c>
      <c r="F227" s="7"/>
      <c r="G227" s="7"/>
      <c r="H227" s="7"/>
      <c r="I227" s="1"/>
      <c r="J227" s="1"/>
      <c r="K227" s="1"/>
    </row>
    <row r="228" spans="1:11">
      <c r="A228" s="7"/>
      <c r="B228" s="7"/>
      <c r="C228" s="1">
        <v>227</v>
      </c>
      <c r="D228" s="1" t="s">
        <v>25</v>
      </c>
      <c r="E228" s="1">
        <v>4</v>
      </c>
      <c r="F228" s="7"/>
      <c r="G228" s="7"/>
      <c r="H228" s="7"/>
      <c r="I228" s="1"/>
      <c r="J228" s="1"/>
      <c r="K228" s="1"/>
    </row>
    <row r="229" spans="1:11">
      <c r="A229" s="7"/>
      <c r="B229" s="7"/>
      <c r="C229" s="1">
        <v>228</v>
      </c>
      <c r="D229" s="1" t="s">
        <v>25</v>
      </c>
      <c r="E229" s="1">
        <v>4</v>
      </c>
      <c r="F229" s="7"/>
      <c r="G229" s="7"/>
      <c r="H229" s="7"/>
      <c r="I229" s="1"/>
      <c r="J229" s="1"/>
      <c r="K229" s="1"/>
    </row>
    <row r="230" spans="1:11">
      <c r="A230" s="7"/>
      <c r="B230" s="7">
        <v>58</v>
      </c>
      <c r="C230" s="1">
        <v>229</v>
      </c>
      <c r="D230" s="1" t="s">
        <v>25</v>
      </c>
      <c r="E230" s="1">
        <v>4</v>
      </c>
      <c r="F230" s="17" t="s">
        <v>58</v>
      </c>
      <c r="G230" s="8" t="s">
        <v>59</v>
      </c>
      <c r="H230" s="8" t="s">
        <v>60</v>
      </c>
      <c r="I230" s="1"/>
      <c r="J230" s="1"/>
      <c r="K230" s="1"/>
    </row>
    <row r="231" spans="1:11">
      <c r="A231" s="7"/>
      <c r="B231" s="7"/>
      <c r="C231" s="1">
        <v>230</v>
      </c>
      <c r="D231" s="1" t="s">
        <v>33</v>
      </c>
      <c r="E231" s="1">
        <v>4</v>
      </c>
      <c r="F231" s="7"/>
      <c r="G231" s="8"/>
      <c r="H231" s="7"/>
      <c r="I231" s="1"/>
      <c r="J231" s="1"/>
      <c r="K231" s="1"/>
    </row>
    <row r="232" spans="1:11">
      <c r="A232" s="7"/>
      <c r="B232" s="7"/>
      <c r="C232" s="1">
        <v>231</v>
      </c>
      <c r="D232" s="1" t="s">
        <v>33</v>
      </c>
      <c r="E232" s="1">
        <v>4</v>
      </c>
      <c r="F232" s="7"/>
      <c r="G232" s="8"/>
      <c r="H232" s="7"/>
      <c r="I232" s="1"/>
      <c r="J232" s="1"/>
      <c r="K232" s="1"/>
    </row>
    <row r="233" spans="1:11">
      <c r="A233" s="7"/>
      <c r="B233" s="7"/>
      <c r="C233" s="1">
        <v>232</v>
      </c>
      <c r="D233" s="1" t="s">
        <v>41</v>
      </c>
      <c r="E233" s="1">
        <v>4</v>
      </c>
      <c r="F233" s="7"/>
      <c r="G233" s="8"/>
      <c r="H233" s="7"/>
      <c r="I233" s="1"/>
      <c r="J233" s="1"/>
      <c r="K233" s="1"/>
    </row>
    <row r="234" spans="1:11">
      <c r="A234" s="7">
        <v>11</v>
      </c>
      <c r="B234" s="7">
        <v>59</v>
      </c>
      <c r="C234" s="1">
        <v>233</v>
      </c>
      <c r="D234" s="1" t="s">
        <v>41</v>
      </c>
      <c r="E234" s="1">
        <v>4</v>
      </c>
      <c r="F234" s="17" t="s">
        <v>61</v>
      </c>
      <c r="G234" s="8" t="s">
        <v>62</v>
      </c>
      <c r="H234" s="8" t="s">
        <v>63</v>
      </c>
      <c r="I234" s="1"/>
      <c r="J234" s="1"/>
      <c r="K234" s="1"/>
    </row>
    <row r="235" spans="1:11">
      <c r="A235" s="7"/>
      <c r="B235" s="7"/>
      <c r="C235" s="1">
        <v>234</v>
      </c>
      <c r="D235" s="1" t="s">
        <v>41</v>
      </c>
      <c r="E235" s="1">
        <v>4</v>
      </c>
      <c r="F235" s="7"/>
      <c r="G235" s="8"/>
      <c r="H235" s="7"/>
      <c r="I235" s="1"/>
      <c r="J235" s="1"/>
      <c r="K235" s="1"/>
    </row>
    <row r="236" spans="1:11">
      <c r="A236" s="7"/>
      <c r="B236" s="7"/>
      <c r="C236" s="1">
        <v>235</v>
      </c>
      <c r="D236" s="1" t="s">
        <v>33</v>
      </c>
      <c r="E236" s="1">
        <v>4</v>
      </c>
      <c r="F236" s="7"/>
      <c r="G236" s="8"/>
      <c r="H236" s="7"/>
      <c r="I236" s="1"/>
      <c r="J236" s="1"/>
      <c r="K236" s="1"/>
    </row>
    <row r="237" spans="1:11">
      <c r="A237" s="7"/>
      <c r="B237" s="7"/>
      <c r="C237" s="1">
        <v>236</v>
      </c>
      <c r="D237" s="1" t="s">
        <v>25</v>
      </c>
      <c r="E237" s="1">
        <v>4</v>
      </c>
      <c r="F237" s="7"/>
      <c r="G237" s="8"/>
      <c r="H237" s="7"/>
      <c r="I237" s="1"/>
      <c r="J237" s="1"/>
      <c r="K237" s="1"/>
    </row>
    <row r="238" spans="1:11">
      <c r="A238" s="7"/>
      <c r="B238" s="7">
        <v>60</v>
      </c>
      <c r="C238" s="1">
        <v>237</v>
      </c>
      <c r="D238" s="1" t="s">
        <v>25</v>
      </c>
      <c r="E238" s="1">
        <v>4</v>
      </c>
      <c r="F238" s="8" t="s">
        <v>64</v>
      </c>
      <c r="G238" s="8" t="s">
        <v>65</v>
      </c>
      <c r="H238" s="8" t="s">
        <v>66</v>
      </c>
      <c r="I238" s="1"/>
      <c r="J238" s="1"/>
      <c r="K238" s="1"/>
    </row>
    <row r="239" spans="1:11">
      <c r="A239" s="7"/>
      <c r="B239" s="7"/>
      <c r="C239" s="1">
        <v>238</v>
      </c>
      <c r="D239" s="1" t="s">
        <v>25</v>
      </c>
      <c r="E239" s="1">
        <v>4</v>
      </c>
      <c r="F239" s="7"/>
      <c r="G239" s="8"/>
      <c r="H239" s="7"/>
      <c r="I239" s="1"/>
      <c r="J239" s="1"/>
      <c r="K239" s="1"/>
    </row>
    <row r="240" spans="1:11">
      <c r="A240" s="7"/>
      <c r="B240" s="7"/>
      <c r="C240" s="1">
        <v>239</v>
      </c>
      <c r="D240" s="1" t="s">
        <v>33</v>
      </c>
      <c r="E240" s="1">
        <v>4</v>
      </c>
      <c r="F240" s="7"/>
      <c r="G240" s="8"/>
      <c r="H240" s="7"/>
      <c r="I240" s="1"/>
      <c r="J240" s="1"/>
      <c r="K240" s="1"/>
    </row>
    <row r="241" spans="1:11">
      <c r="A241" s="7"/>
      <c r="B241" s="7"/>
      <c r="C241" s="1">
        <v>240</v>
      </c>
      <c r="D241" s="1" t="s">
        <v>33</v>
      </c>
      <c r="E241" s="1">
        <v>1</v>
      </c>
      <c r="F241" s="7"/>
      <c r="G241" s="8"/>
      <c r="H241" s="7"/>
      <c r="I241" s="1"/>
      <c r="J241" s="1"/>
      <c r="K241" s="1"/>
    </row>
    <row r="242" spans="1:11">
      <c r="A242" s="7"/>
      <c r="B242" s="7">
        <v>61</v>
      </c>
      <c r="C242" s="1">
        <v>241</v>
      </c>
      <c r="D242" s="1" t="s">
        <v>41</v>
      </c>
      <c r="E242" s="1">
        <v>4</v>
      </c>
      <c r="F242" s="17" t="s">
        <v>67</v>
      </c>
      <c r="G242" s="8" t="s">
        <v>59</v>
      </c>
      <c r="H242" s="13" t="s">
        <v>68</v>
      </c>
      <c r="I242" s="1" t="s">
        <v>69</v>
      </c>
      <c r="J242" s="1"/>
      <c r="K242" s="1"/>
    </row>
    <row r="243" spans="1:11">
      <c r="A243" s="7"/>
      <c r="B243" s="7"/>
      <c r="C243" s="1">
        <v>242</v>
      </c>
      <c r="D243" s="1" t="s">
        <v>41</v>
      </c>
      <c r="E243" s="1">
        <v>4</v>
      </c>
      <c r="F243" s="7"/>
      <c r="G243" s="7"/>
      <c r="H243" s="18"/>
      <c r="I243" s="1"/>
      <c r="J243" s="1"/>
      <c r="K243" s="1"/>
    </row>
    <row r="244" spans="1:11">
      <c r="A244" s="7"/>
      <c r="B244" s="7"/>
      <c r="C244" s="1">
        <v>243</v>
      </c>
      <c r="D244" s="1" t="s">
        <v>33</v>
      </c>
      <c r="E244" s="1">
        <v>4</v>
      </c>
      <c r="F244" s="7"/>
      <c r="G244" s="7"/>
      <c r="H244" s="18"/>
      <c r="I244" s="1"/>
      <c r="J244" s="1"/>
      <c r="K244" s="1"/>
    </row>
    <row r="245" spans="1:11">
      <c r="A245" s="7"/>
      <c r="B245" s="7"/>
      <c r="C245" s="1">
        <v>244</v>
      </c>
      <c r="D245" s="1" t="s">
        <v>33</v>
      </c>
      <c r="E245" s="1">
        <v>4</v>
      </c>
      <c r="F245" s="7"/>
      <c r="G245" s="7"/>
      <c r="H245" s="18"/>
      <c r="I245" s="1"/>
      <c r="J245" s="1"/>
      <c r="K245" s="1"/>
    </row>
    <row r="246" spans="1:11">
      <c r="A246" s="7"/>
      <c r="B246" s="7">
        <v>62</v>
      </c>
      <c r="C246" s="1">
        <v>245</v>
      </c>
      <c r="D246" s="1" t="s">
        <v>25</v>
      </c>
      <c r="E246" s="1">
        <v>4</v>
      </c>
      <c r="F246" s="8" t="s">
        <v>70</v>
      </c>
      <c r="G246" s="8" t="s">
        <v>59</v>
      </c>
      <c r="H246" s="15" t="s">
        <v>71</v>
      </c>
      <c r="I246" s="1"/>
      <c r="J246" s="1"/>
      <c r="K246" s="1"/>
    </row>
    <row r="247" spans="1:11">
      <c r="A247" s="7"/>
      <c r="B247" s="7"/>
      <c r="C247" s="1">
        <v>246</v>
      </c>
      <c r="D247" s="1" t="s">
        <v>25</v>
      </c>
      <c r="E247" s="1">
        <v>4</v>
      </c>
      <c r="F247" s="7"/>
      <c r="G247" s="7"/>
      <c r="H247" s="16"/>
      <c r="I247" s="1"/>
      <c r="J247" s="1"/>
      <c r="K247" s="1"/>
    </row>
    <row r="248" spans="1:11">
      <c r="A248" s="7"/>
      <c r="B248" s="7"/>
      <c r="C248" s="1">
        <v>247</v>
      </c>
      <c r="D248" s="1" t="s">
        <v>25</v>
      </c>
      <c r="E248" s="1">
        <v>4</v>
      </c>
      <c r="F248" s="7"/>
      <c r="G248" s="7"/>
      <c r="H248" s="16"/>
      <c r="I248" s="1"/>
      <c r="J248" s="1"/>
      <c r="K248" s="1"/>
    </row>
    <row r="249" spans="1:11">
      <c r="A249" s="7"/>
      <c r="B249" s="7"/>
      <c r="C249" s="1">
        <v>248</v>
      </c>
      <c r="D249" s="1" t="s">
        <v>33</v>
      </c>
      <c r="E249" s="1">
        <v>4</v>
      </c>
      <c r="F249" s="7"/>
      <c r="G249" s="7"/>
      <c r="H249" s="16"/>
      <c r="I249" s="1" t="s">
        <v>72</v>
      </c>
      <c r="J249" s="1"/>
      <c r="K249" s="1"/>
    </row>
    <row r="250" spans="1:11">
      <c r="A250" s="7"/>
      <c r="B250" s="7">
        <v>63</v>
      </c>
      <c r="C250" s="1">
        <v>249</v>
      </c>
      <c r="D250" s="1" t="s">
        <v>33</v>
      </c>
      <c r="E250" s="1">
        <v>3</v>
      </c>
      <c r="F250" s="17" t="s">
        <v>23</v>
      </c>
      <c r="G250" s="13" t="s">
        <v>73</v>
      </c>
      <c r="H250" s="19" t="s">
        <v>74</v>
      </c>
      <c r="I250" s="27"/>
      <c r="J250" s="1"/>
      <c r="K250" s="1"/>
    </row>
    <row r="251" spans="1:11">
      <c r="A251" s="7"/>
      <c r="B251" s="7"/>
      <c r="C251" s="1">
        <v>250</v>
      </c>
      <c r="D251" s="1" t="s">
        <v>41</v>
      </c>
      <c r="E251" s="1">
        <v>4</v>
      </c>
      <c r="F251" s="17"/>
      <c r="G251" s="18"/>
      <c r="H251" s="20"/>
      <c r="I251" s="1" t="s">
        <v>75</v>
      </c>
      <c r="J251" s="1"/>
      <c r="K251" s="1"/>
    </row>
    <row r="252" spans="1:11">
      <c r="A252" s="7"/>
      <c r="B252" s="7"/>
      <c r="C252" s="1">
        <v>251</v>
      </c>
      <c r="D252" s="1" t="s">
        <v>41</v>
      </c>
      <c r="E252" s="1">
        <v>4</v>
      </c>
      <c r="F252" s="17"/>
      <c r="G252" s="18"/>
      <c r="H252" s="20"/>
      <c r="I252" s="27"/>
      <c r="J252" s="1"/>
      <c r="K252" s="1"/>
    </row>
    <row r="253" spans="1:11">
      <c r="A253" s="7"/>
      <c r="B253" s="7"/>
      <c r="C253" s="1">
        <v>252</v>
      </c>
      <c r="D253" s="1" t="s">
        <v>33</v>
      </c>
      <c r="E253" s="1">
        <v>4</v>
      </c>
      <c r="F253" s="17"/>
      <c r="G253" s="18"/>
      <c r="H253" s="20"/>
      <c r="I253" s="27"/>
      <c r="J253" s="1"/>
      <c r="K253" s="1"/>
    </row>
    <row r="254" spans="1:11">
      <c r="A254" s="7"/>
      <c r="B254" s="7">
        <v>64</v>
      </c>
      <c r="C254" s="1">
        <v>253</v>
      </c>
      <c r="D254" s="1" t="s">
        <v>33</v>
      </c>
      <c r="E254" s="1">
        <v>4</v>
      </c>
      <c r="F254" s="8" t="s">
        <v>76</v>
      </c>
      <c r="G254" s="13" t="s">
        <v>77</v>
      </c>
      <c r="H254" s="14" t="s">
        <v>78</v>
      </c>
      <c r="I254" s="1" t="s">
        <v>72</v>
      </c>
      <c r="J254" s="1"/>
      <c r="K254" s="1"/>
    </row>
    <row r="255" spans="1:11">
      <c r="A255" s="7"/>
      <c r="B255" s="7"/>
      <c r="C255" s="1">
        <v>254</v>
      </c>
      <c r="D255" s="1" t="s">
        <v>25</v>
      </c>
      <c r="E255" s="1">
        <v>4</v>
      </c>
      <c r="F255" s="7"/>
      <c r="G255" s="13"/>
      <c r="H255" s="14"/>
      <c r="I255" s="27"/>
      <c r="J255" s="1"/>
      <c r="K255" s="1"/>
    </row>
    <row r="256" spans="1:11">
      <c r="A256" s="7"/>
      <c r="B256" s="7"/>
      <c r="C256" s="1">
        <v>255</v>
      </c>
      <c r="D256" s="1" t="s">
        <v>25</v>
      </c>
      <c r="E256" s="1">
        <v>4</v>
      </c>
      <c r="F256" s="7"/>
      <c r="G256" s="13"/>
      <c r="H256" s="14"/>
      <c r="I256" s="1" t="s">
        <v>72</v>
      </c>
      <c r="J256" s="1"/>
      <c r="K256" s="1"/>
    </row>
    <row r="257" spans="1:11">
      <c r="A257" s="7"/>
      <c r="B257" s="7"/>
      <c r="C257" s="1">
        <v>256</v>
      </c>
      <c r="D257" s="1" t="s">
        <v>33</v>
      </c>
      <c r="E257" s="1">
        <v>4</v>
      </c>
      <c r="F257" s="7"/>
      <c r="G257" s="13"/>
      <c r="H257" s="14"/>
      <c r="I257" s="1"/>
      <c r="J257" s="1"/>
      <c r="K257" s="1"/>
    </row>
    <row r="258" spans="1:11">
      <c r="A258" s="7">
        <v>11</v>
      </c>
      <c r="B258" s="7">
        <v>65</v>
      </c>
      <c r="C258" s="1">
        <v>257</v>
      </c>
      <c r="D258" s="1" t="s">
        <v>33</v>
      </c>
      <c r="E258" s="1">
        <v>4</v>
      </c>
      <c r="F258" s="8" t="s">
        <v>49</v>
      </c>
      <c r="G258" s="8" t="s">
        <v>79</v>
      </c>
      <c r="H258" s="11" t="s">
        <v>80</v>
      </c>
      <c r="I258" s="1"/>
      <c r="J258" s="1"/>
      <c r="K258" s="1"/>
    </row>
    <row r="259" spans="1:11">
      <c r="A259" s="7"/>
      <c r="B259" s="7"/>
      <c r="C259" s="1">
        <v>258</v>
      </c>
      <c r="D259" s="1" t="s">
        <v>41</v>
      </c>
      <c r="E259" s="1">
        <v>4</v>
      </c>
      <c r="F259" s="7"/>
      <c r="G259" s="8"/>
      <c r="H259" s="11"/>
      <c r="I259" s="1"/>
      <c r="J259" s="1"/>
      <c r="K259" s="1"/>
    </row>
    <row r="260" spans="1:11">
      <c r="A260" s="7"/>
      <c r="B260" s="7"/>
      <c r="C260" s="1">
        <v>259</v>
      </c>
      <c r="D260" s="1" t="s">
        <v>41</v>
      </c>
      <c r="E260" s="1">
        <v>4</v>
      </c>
      <c r="F260" s="7"/>
      <c r="G260" s="8"/>
      <c r="H260" s="11"/>
      <c r="I260" s="1"/>
      <c r="J260" s="1"/>
      <c r="K260" s="1"/>
    </row>
    <row r="261" spans="1:11">
      <c r="A261" s="7"/>
      <c r="B261" s="7"/>
      <c r="C261" s="1">
        <v>260</v>
      </c>
      <c r="D261" s="1" t="s">
        <v>41</v>
      </c>
      <c r="E261" s="1">
        <v>4</v>
      </c>
      <c r="F261" s="7"/>
      <c r="G261" s="8"/>
      <c r="H261" s="11"/>
      <c r="I261" s="1"/>
      <c r="J261" s="1"/>
      <c r="K261" s="1"/>
    </row>
    <row r="262" spans="1:11">
      <c r="A262" s="7"/>
      <c r="B262" s="7">
        <v>66</v>
      </c>
      <c r="C262" s="1">
        <v>261</v>
      </c>
      <c r="D262" s="1" t="s">
        <v>33</v>
      </c>
      <c r="E262" s="1">
        <v>4</v>
      </c>
      <c r="F262" s="8" t="s">
        <v>58</v>
      </c>
      <c r="G262" s="8" t="s">
        <v>81</v>
      </c>
      <c r="H262" s="11" t="s">
        <v>82</v>
      </c>
      <c r="I262" s="1"/>
      <c r="J262" s="1"/>
      <c r="K262" s="1"/>
    </row>
    <row r="263" spans="1:11">
      <c r="A263" s="7"/>
      <c r="B263" s="7"/>
      <c r="C263" s="1">
        <v>262</v>
      </c>
      <c r="D263" s="1" t="s">
        <v>33</v>
      </c>
      <c r="E263" s="1">
        <v>4</v>
      </c>
      <c r="F263" s="7"/>
      <c r="G263" s="8"/>
      <c r="H263" s="11"/>
      <c r="I263" s="1"/>
      <c r="J263" s="1"/>
      <c r="K263" s="1"/>
    </row>
    <row r="264" spans="1:11">
      <c r="A264" s="7"/>
      <c r="B264" s="7"/>
      <c r="C264" s="1">
        <v>263</v>
      </c>
      <c r="D264" s="1" t="s">
        <v>25</v>
      </c>
      <c r="E264" s="1">
        <v>4</v>
      </c>
      <c r="F264" s="7"/>
      <c r="G264" s="8"/>
      <c r="H264" s="11"/>
      <c r="I264" s="1"/>
      <c r="J264" s="1"/>
      <c r="K264" s="1"/>
    </row>
    <row r="265" spans="1:11">
      <c r="A265" s="7"/>
      <c r="B265" s="7"/>
      <c r="C265" s="1">
        <v>264</v>
      </c>
      <c r="D265" s="1" t="s">
        <v>25</v>
      </c>
      <c r="E265" s="1">
        <v>4</v>
      </c>
      <c r="F265" s="7"/>
      <c r="G265" s="8"/>
      <c r="H265" s="11"/>
      <c r="I265" s="1"/>
      <c r="J265" s="1"/>
      <c r="K265" s="1"/>
    </row>
    <row r="266" spans="1:11">
      <c r="A266" s="7"/>
      <c r="B266" s="7">
        <v>67</v>
      </c>
      <c r="C266" s="1">
        <v>265</v>
      </c>
      <c r="D266" s="1" t="s">
        <v>25</v>
      </c>
      <c r="E266" s="1">
        <v>4</v>
      </c>
      <c r="F266" s="8" t="s">
        <v>83</v>
      </c>
      <c r="G266" s="8" t="s">
        <v>84</v>
      </c>
      <c r="H266" s="12" t="s">
        <v>85</v>
      </c>
      <c r="I266" s="1"/>
      <c r="J266" s="1"/>
      <c r="K266" s="1"/>
    </row>
    <row r="267" spans="1:11">
      <c r="A267" s="7"/>
      <c r="B267" s="7"/>
      <c r="C267" s="1">
        <v>266</v>
      </c>
      <c r="D267" s="1" t="s">
        <v>33</v>
      </c>
      <c r="E267" s="1">
        <v>1</v>
      </c>
      <c r="F267" s="7"/>
      <c r="G267" s="8"/>
      <c r="H267" s="12"/>
      <c r="I267" s="1"/>
      <c r="J267" s="1"/>
      <c r="K267" s="1"/>
    </row>
    <row r="268" spans="1:11">
      <c r="A268" s="7"/>
      <c r="B268" s="7"/>
      <c r="C268" s="1">
        <v>267</v>
      </c>
      <c r="D268" s="1" t="s">
        <v>33</v>
      </c>
      <c r="E268" s="1">
        <v>1</v>
      </c>
      <c r="F268" s="7"/>
      <c r="G268" s="8"/>
      <c r="H268" s="12"/>
      <c r="I268" s="1"/>
      <c r="J268" s="1"/>
      <c r="K268" s="1"/>
    </row>
    <row r="269" spans="1:11">
      <c r="A269" s="7"/>
      <c r="B269" s="7"/>
      <c r="C269" s="1">
        <v>268</v>
      </c>
      <c r="D269" s="1" t="s">
        <v>33</v>
      </c>
      <c r="E269" s="1">
        <v>3</v>
      </c>
      <c r="F269" s="7"/>
      <c r="G269" s="8"/>
      <c r="H269" s="12"/>
      <c r="I269" s="1"/>
      <c r="J269" s="1"/>
      <c r="K269" s="1"/>
    </row>
    <row r="270" spans="1:11">
      <c r="A270" s="7"/>
      <c r="B270" s="7">
        <v>68</v>
      </c>
      <c r="C270" s="28">
        <v>269</v>
      </c>
      <c r="D270" s="1" t="s">
        <v>33</v>
      </c>
      <c r="E270" s="1">
        <v>0</v>
      </c>
      <c r="F270" s="8"/>
      <c r="G270" s="8" t="s">
        <v>86</v>
      </c>
      <c r="H270" s="12" t="s">
        <v>87</v>
      </c>
      <c r="I270" s="1"/>
      <c r="J270" s="1"/>
      <c r="K270" s="1"/>
    </row>
    <row r="271" spans="1:11">
      <c r="A271" s="7"/>
      <c r="B271" s="7"/>
      <c r="C271" s="1">
        <v>270</v>
      </c>
      <c r="D271" s="1" t="s">
        <v>33</v>
      </c>
      <c r="E271" s="1">
        <v>4</v>
      </c>
      <c r="F271" s="7"/>
      <c r="G271" s="8"/>
      <c r="H271" s="12"/>
      <c r="I271" s="1"/>
      <c r="J271" s="1"/>
      <c r="K271" s="1"/>
    </row>
    <row r="272" spans="1:11">
      <c r="A272" s="7"/>
      <c r="B272" s="7"/>
      <c r="C272" s="1">
        <v>271</v>
      </c>
      <c r="D272" s="1" t="s">
        <v>25</v>
      </c>
      <c r="E272" s="1">
        <v>4</v>
      </c>
      <c r="F272" s="7"/>
      <c r="G272" s="8"/>
      <c r="H272" s="12"/>
      <c r="I272" s="1"/>
      <c r="J272" s="1"/>
      <c r="K272" s="1"/>
    </row>
    <row r="273" spans="1:11">
      <c r="A273" s="7"/>
      <c r="B273" s="7"/>
      <c r="C273" s="1">
        <v>272</v>
      </c>
      <c r="D273" s="1" t="s">
        <v>25</v>
      </c>
      <c r="E273" s="1">
        <v>4</v>
      </c>
      <c r="F273" s="7"/>
      <c r="G273" s="8"/>
      <c r="H273" s="12"/>
      <c r="I273" s="1"/>
      <c r="J273" s="1"/>
      <c r="K273" s="1"/>
    </row>
    <row r="274" spans="1:11">
      <c r="A274" s="7"/>
      <c r="B274" s="7">
        <v>69</v>
      </c>
      <c r="C274" s="1">
        <v>273</v>
      </c>
      <c r="D274" s="1" t="s">
        <v>25</v>
      </c>
      <c r="E274" s="1">
        <v>4</v>
      </c>
      <c r="F274" s="8" t="s">
        <v>88</v>
      </c>
      <c r="G274" s="8" t="s">
        <v>89</v>
      </c>
      <c r="H274" s="12" t="s">
        <v>90</v>
      </c>
      <c r="I274" s="1"/>
      <c r="J274" s="1"/>
      <c r="K274" s="1"/>
    </row>
    <row r="275" spans="1:11">
      <c r="A275" s="7"/>
      <c r="B275" s="7"/>
      <c r="C275" s="1">
        <v>274</v>
      </c>
      <c r="D275" s="1" t="s">
        <v>33</v>
      </c>
      <c r="E275" s="1">
        <v>4</v>
      </c>
      <c r="F275" s="7"/>
      <c r="G275" s="8"/>
      <c r="H275" s="12"/>
      <c r="I275" s="1"/>
      <c r="J275" s="1"/>
      <c r="K275" s="1"/>
    </row>
    <row r="276" spans="1:11">
      <c r="A276" s="7"/>
      <c r="B276" s="7"/>
      <c r="C276" s="1">
        <v>275</v>
      </c>
      <c r="D276" s="1" t="s">
        <v>41</v>
      </c>
      <c r="E276" s="1">
        <v>4</v>
      </c>
      <c r="F276" s="7"/>
      <c r="G276" s="8"/>
      <c r="H276" s="12"/>
      <c r="I276" s="1"/>
      <c r="J276" s="1"/>
      <c r="K276" s="1"/>
    </row>
    <row r="277" spans="1:11">
      <c r="A277" s="7"/>
      <c r="B277" s="7"/>
      <c r="C277" s="1">
        <v>276</v>
      </c>
      <c r="D277" s="1" t="s">
        <v>41</v>
      </c>
      <c r="E277" s="1">
        <v>4</v>
      </c>
      <c r="F277" s="7"/>
      <c r="G277" s="8"/>
      <c r="H277" s="12"/>
      <c r="I277" s="1"/>
      <c r="J277" s="1"/>
      <c r="K277" s="1"/>
    </row>
    <row r="278" spans="1:11">
      <c r="A278" s="7"/>
      <c r="B278" s="7">
        <v>70</v>
      </c>
      <c r="C278" s="1">
        <v>277</v>
      </c>
      <c r="D278" s="1" t="s">
        <v>41</v>
      </c>
      <c r="E278" s="1">
        <v>4</v>
      </c>
      <c r="F278" s="8" t="s">
        <v>91</v>
      </c>
      <c r="G278" s="8" t="s">
        <v>92</v>
      </c>
      <c r="H278" s="12" t="s">
        <v>93</v>
      </c>
      <c r="I278" s="1"/>
      <c r="J278" s="1"/>
      <c r="K278" s="1"/>
    </row>
    <row r="279" spans="1:11">
      <c r="A279" s="7"/>
      <c r="B279" s="7"/>
      <c r="C279" s="1">
        <v>278</v>
      </c>
      <c r="D279" s="1" t="s">
        <v>41</v>
      </c>
      <c r="E279" s="1">
        <v>4</v>
      </c>
      <c r="F279" s="7"/>
      <c r="G279" s="8"/>
      <c r="H279" s="12"/>
      <c r="I279" s="1"/>
      <c r="J279" s="1"/>
      <c r="K279" s="1"/>
    </row>
    <row r="280" spans="1:11">
      <c r="A280" s="7"/>
      <c r="B280" s="7"/>
      <c r="C280" s="1">
        <v>279</v>
      </c>
      <c r="D280" s="1" t="s">
        <v>33</v>
      </c>
      <c r="E280" s="1">
        <v>4</v>
      </c>
      <c r="F280" s="7"/>
      <c r="G280" s="8"/>
      <c r="H280" s="12"/>
      <c r="I280" s="1"/>
      <c r="J280" s="1"/>
      <c r="K280" s="1"/>
    </row>
    <row r="281" spans="1:11">
      <c r="A281" s="7"/>
      <c r="B281" s="7"/>
      <c r="C281" s="1">
        <v>280</v>
      </c>
      <c r="D281" s="1" t="s">
        <v>25</v>
      </c>
      <c r="E281" s="1">
        <v>4</v>
      </c>
      <c r="F281" s="7"/>
      <c r="G281" s="8"/>
      <c r="H281" s="12"/>
      <c r="I281" s="1"/>
      <c r="J281" s="1"/>
      <c r="K281" s="1"/>
    </row>
    <row r="282" spans="1:11">
      <c r="A282" s="7">
        <v>12</v>
      </c>
      <c r="B282" s="7">
        <v>71</v>
      </c>
      <c r="C282" s="1">
        <v>281</v>
      </c>
      <c r="D282" s="1" t="s">
        <v>25</v>
      </c>
      <c r="E282" s="1">
        <v>4</v>
      </c>
      <c r="F282" s="7"/>
      <c r="G282" s="8" t="s">
        <v>94</v>
      </c>
      <c r="H282" s="8" t="s">
        <v>95</v>
      </c>
      <c r="I282" s="1"/>
      <c r="J282" s="1"/>
      <c r="K282" s="1"/>
    </row>
    <row r="283" spans="1:11">
      <c r="A283" s="7"/>
      <c r="B283" s="7"/>
      <c r="C283" s="1">
        <v>282</v>
      </c>
      <c r="D283" s="1" t="s">
        <v>25</v>
      </c>
      <c r="E283" s="1">
        <v>4</v>
      </c>
      <c r="F283" s="7"/>
      <c r="G283" s="8"/>
      <c r="H283" s="8"/>
      <c r="I283" s="1"/>
      <c r="J283" s="1"/>
      <c r="K283" s="1"/>
    </row>
    <row r="284" spans="1:11">
      <c r="A284" s="7"/>
      <c r="B284" s="7"/>
      <c r="C284" s="1">
        <v>283</v>
      </c>
      <c r="D284" s="1" t="s">
        <v>33</v>
      </c>
      <c r="E284" s="1">
        <v>4</v>
      </c>
      <c r="F284" s="7"/>
      <c r="G284" s="8"/>
      <c r="H284" s="8"/>
      <c r="I284" s="1"/>
      <c r="J284" s="1"/>
      <c r="K284" s="1"/>
    </row>
    <row r="285" spans="1:11">
      <c r="A285" s="7"/>
      <c r="B285" s="7"/>
      <c r="C285" s="1">
        <v>284</v>
      </c>
      <c r="D285" s="1" t="s">
        <v>33</v>
      </c>
      <c r="E285" s="1">
        <v>0</v>
      </c>
      <c r="F285" s="7"/>
      <c r="G285" s="8"/>
      <c r="H285" s="8"/>
      <c r="I285" s="1"/>
      <c r="J285" s="1"/>
      <c r="K285" s="1"/>
    </row>
    <row r="286" spans="1:11">
      <c r="A286" s="7"/>
      <c r="B286" s="7">
        <v>72</v>
      </c>
      <c r="C286" s="1">
        <v>285</v>
      </c>
      <c r="D286" s="1" t="s">
        <v>33</v>
      </c>
      <c r="E286" s="1">
        <v>4</v>
      </c>
      <c r="F286" s="7" t="s">
        <v>23</v>
      </c>
      <c r="G286" s="8" t="s">
        <v>96</v>
      </c>
      <c r="H286" s="8" t="s">
        <v>90</v>
      </c>
      <c r="I286" s="1"/>
      <c r="J286" s="1"/>
      <c r="K286" s="1"/>
    </row>
    <row r="287" spans="1:11">
      <c r="A287" s="7"/>
      <c r="B287" s="7"/>
      <c r="C287" s="25">
        <v>286</v>
      </c>
      <c r="D287" s="1" t="s">
        <v>33</v>
      </c>
      <c r="E287" s="1">
        <v>0</v>
      </c>
      <c r="F287" s="7"/>
      <c r="G287" s="8"/>
      <c r="H287" s="8"/>
      <c r="I287" s="1"/>
      <c r="J287" s="1"/>
      <c r="K287" s="1"/>
    </row>
    <row r="288" spans="1:11">
      <c r="A288" s="7"/>
      <c r="B288" s="7"/>
      <c r="C288" s="1">
        <v>287</v>
      </c>
      <c r="D288" s="1" t="s">
        <v>25</v>
      </c>
      <c r="E288" s="1">
        <v>4</v>
      </c>
      <c r="F288" s="7"/>
      <c r="G288" s="8"/>
      <c r="H288" s="8"/>
      <c r="I288" s="1"/>
      <c r="J288" s="1"/>
      <c r="K288" s="1"/>
    </row>
    <row r="289" spans="1:11">
      <c r="A289" s="7"/>
      <c r="B289" s="7"/>
      <c r="C289" s="1">
        <v>288</v>
      </c>
      <c r="D289" s="1" t="s">
        <v>25</v>
      </c>
      <c r="E289" s="1">
        <v>4</v>
      </c>
      <c r="F289" s="7"/>
      <c r="G289" s="8"/>
      <c r="H289" s="8"/>
      <c r="I289" s="1"/>
      <c r="J289" s="1"/>
      <c r="K289" s="1"/>
    </row>
    <row r="290" spans="1:11">
      <c r="A290" s="7"/>
      <c r="B290" s="7">
        <v>73</v>
      </c>
      <c r="C290" s="1">
        <v>289</v>
      </c>
      <c r="D290" s="1" t="s">
        <v>25</v>
      </c>
      <c r="E290" s="1">
        <v>4</v>
      </c>
      <c r="F290" s="7"/>
      <c r="G290" s="8" t="s">
        <v>97</v>
      </c>
      <c r="H290" s="10" t="s">
        <v>98</v>
      </c>
      <c r="I290" s="1"/>
      <c r="J290" s="1"/>
      <c r="K290" s="1"/>
    </row>
    <row r="291" spans="1:11">
      <c r="A291" s="7"/>
      <c r="B291" s="7"/>
      <c r="C291" s="1">
        <v>290</v>
      </c>
      <c r="D291" s="1" t="s">
        <v>25</v>
      </c>
      <c r="E291" s="1">
        <v>4</v>
      </c>
      <c r="F291" s="7"/>
      <c r="G291" s="8"/>
      <c r="H291" s="10"/>
      <c r="I291" s="1"/>
      <c r="J291" s="1"/>
      <c r="K291" s="1"/>
    </row>
    <row r="292" spans="1:11">
      <c r="A292" s="7"/>
      <c r="B292" s="7"/>
      <c r="C292" s="29">
        <v>291</v>
      </c>
      <c r="D292" s="1" t="s">
        <v>33</v>
      </c>
      <c r="E292" s="1">
        <v>0</v>
      </c>
      <c r="F292" s="7"/>
      <c r="G292" s="8"/>
      <c r="H292" s="10"/>
      <c r="I292" s="1"/>
      <c r="J292" s="1"/>
      <c r="K292" s="1"/>
    </row>
    <row r="293" spans="1:11">
      <c r="A293" s="7"/>
      <c r="B293" s="7"/>
      <c r="C293" s="29">
        <v>292</v>
      </c>
      <c r="D293" s="1" t="s">
        <v>41</v>
      </c>
      <c r="E293" s="1">
        <v>0</v>
      </c>
      <c r="F293" s="7"/>
      <c r="G293" s="8"/>
      <c r="H293" s="10"/>
      <c r="I293" s="1"/>
      <c r="J293" s="1"/>
      <c r="K293" s="1"/>
    </row>
    <row r="294" spans="1:11">
      <c r="A294" s="7"/>
      <c r="B294" s="7">
        <v>74</v>
      </c>
      <c r="C294" s="25">
        <v>293</v>
      </c>
      <c r="D294" s="1" t="s">
        <v>41</v>
      </c>
      <c r="E294" s="1">
        <v>0</v>
      </c>
      <c r="F294" s="7" t="s">
        <v>23</v>
      </c>
      <c r="G294" s="8" t="s">
        <v>99</v>
      </c>
      <c r="H294" s="10" t="s">
        <v>100</v>
      </c>
      <c r="I294" s="1"/>
      <c r="J294" s="1"/>
      <c r="K294" s="1"/>
    </row>
    <row r="295" spans="1:11">
      <c r="A295" s="7"/>
      <c r="B295" s="7"/>
      <c r="C295" s="25">
        <v>294</v>
      </c>
      <c r="D295" s="1" t="s">
        <v>41</v>
      </c>
      <c r="E295" s="1">
        <v>0</v>
      </c>
      <c r="F295" s="7"/>
      <c r="G295" s="8"/>
      <c r="H295" s="10"/>
      <c r="I295" s="1"/>
      <c r="J295" s="1"/>
      <c r="K295" s="1"/>
    </row>
    <row r="296" spans="1:11">
      <c r="A296" s="7"/>
      <c r="B296" s="7"/>
      <c r="C296" s="1">
        <v>295</v>
      </c>
      <c r="D296" s="1" t="s">
        <v>33</v>
      </c>
      <c r="E296" s="1">
        <v>4</v>
      </c>
      <c r="F296" s="7"/>
      <c r="G296" s="8"/>
      <c r="H296" s="10"/>
      <c r="I296" s="1"/>
      <c r="J296" s="1"/>
      <c r="K296" s="1"/>
    </row>
    <row r="297" spans="1:11">
      <c r="A297" s="7"/>
      <c r="B297" s="7"/>
      <c r="C297" s="1">
        <v>296</v>
      </c>
      <c r="D297" s="1" t="s">
        <v>25</v>
      </c>
      <c r="E297" s="1">
        <v>4</v>
      </c>
      <c r="F297" s="7"/>
      <c r="G297" s="8"/>
      <c r="H297" s="10"/>
      <c r="I297" s="1"/>
      <c r="J297" s="1"/>
      <c r="K297" s="1"/>
    </row>
    <row r="298" spans="1:11">
      <c r="A298" s="7"/>
      <c r="B298" s="7">
        <v>75</v>
      </c>
      <c r="C298" s="1">
        <v>297</v>
      </c>
      <c r="D298" s="1" t="s">
        <v>25</v>
      </c>
      <c r="E298" s="1">
        <v>4</v>
      </c>
      <c r="F298" s="8" t="s">
        <v>76</v>
      </c>
      <c r="G298" s="8" t="s">
        <v>101</v>
      </c>
      <c r="H298" s="11" t="s">
        <v>102</v>
      </c>
      <c r="I298" s="1"/>
      <c r="J298" s="1"/>
      <c r="K298" s="1"/>
    </row>
    <row r="299" spans="1:11">
      <c r="A299" s="7"/>
      <c r="B299" s="7"/>
      <c r="C299" s="1">
        <v>298</v>
      </c>
      <c r="D299" s="1" t="s">
        <v>25</v>
      </c>
      <c r="E299" s="1">
        <v>4</v>
      </c>
      <c r="F299" s="8"/>
      <c r="G299" s="8"/>
      <c r="H299" s="11"/>
      <c r="I299" s="1"/>
      <c r="J299" s="1"/>
      <c r="K299" s="1"/>
    </row>
    <row r="300" spans="1:11">
      <c r="A300" s="7"/>
      <c r="B300" s="7"/>
      <c r="C300" s="1">
        <v>299</v>
      </c>
      <c r="D300" s="1" t="s">
        <v>33</v>
      </c>
      <c r="E300" s="1">
        <v>4</v>
      </c>
      <c r="F300" s="8"/>
      <c r="G300" s="8"/>
      <c r="H300" s="11"/>
      <c r="I300" s="1"/>
      <c r="J300" s="1"/>
      <c r="K300" s="1"/>
    </row>
    <row r="301" spans="1:11">
      <c r="A301" s="7"/>
      <c r="B301" s="7"/>
      <c r="C301" s="1">
        <v>300</v>
      </c>
      <c r="D301" s="1" t="s">
        <v>33</v>
      </c>
      <c r="E301" s="1">
        <v>4</v>
      </c>
      <c r="F301" s="8"/>
      <c r="G301" s="8"/>
      <c r="H301" s="11"/>
      <c r="I301" s="1"/>
      <c r="J301" s="1"/>
      <c r="K301" s="1"/>
    </row>
    <row r="302" spans="1:11">
      <c r="A302" s="7"/>
      <c r="B302" s="7">
        <v>76</v>
      </c>
      <c r="C302" s="1">
        <v>301</v>
      </c>
      <c r="D302" s="1" t="s">
        <v>41</v>
      </c>
      <c r="E302" s="1">
        <v>4</v>
      </c>
      <c r="F302" s="8" t="s">
        <v>146</v>
      </c>
      <c r="G302" s="8" t="s">
        <v>149</v>
      </c>
      <c r="H302" s="8" t="s">
        <v>158</v>
      </c>
      <c r="I302" s="1"/>
      <c r="J302" s="1"/>
      <c r="K302" s="1"/>
    </row>
    <row r="303" spans="1:11">
      <c r="A303" s="7"/>
      <c r="B303" s="7"/>
      <c r="C303" s="1">
        <v>302</v>
      </c>
      <c r="D303" s="1" t="s">
        <v>41</v>
      </c>
      <c r="E303" s="1">
        <v>4</v>
      </c>
      <c r="F303" s="8"/>
      <c r="G303" s="7"/>
      <c r="H303" s="7"/>
      <c r="I303" s="1"/>
      <c r="J303" s="1"/>
      <c r="K303" s="1"/>
    </row>
    <row r="304" spans="1:11">
      <c r="A304" s="7"/>
      <c r="B304" s="7"/>
      <c r="C304" s="1">
        <v>303</v>
      </c>
      <c r="D304" s="1" t="s">
        <v>41</v>
      </c>
      <c r="E304" s="1">
        <v>4</v>
      </c>
      <c r="F304" s="8"/>
      <c r="G304" s="7"/>
      <c r="H304" s="7"/>
      <c r="I304" s="1"/>
      <c r="J304" s="1"/>
      <c r="K304" s="1"/>
    </row>
    <row r="305" spans="1:11">
      <c r="A305" s="7"/>
      <c r="B305" s="7"/>
      <c r="C305" s="1">
        <v>304</v>
      </c>
      <c r="D305" s="1" t="s">
        <v>33</v>
      </c>
      <c r="E305" s="1">
        <v>4</v>
      </c>
      <c r="F305" s="8"/>
      <c r="G305" s="7"/>
      <c r="H305" s="7"/>
      <c r="I305" s="1"/>
      <c r="J305" s="1"/>
      <c r="K305" s="1"/>
    </row>
    <row r="306" spans="1:11">
      <c r="A306" s="7">
        <v>13</v>
      </c>
      <c r="B306" s="7">
        <v>77</v>
      </c>
      <c r="C306" s="1">
        <v>305</v>
      </c>
      <c r="D306" s="1" t="s">
        <v>33</v>
      </c>
      <c r="E306" s="1">
        <v>5</v>
      </c>
      <c r="F306" s="7"/>
      <c r="G306" s="8" t="s">
        <v>188</v>
      </c>
      <c r="H306" s="8" t="s">
        <v>143</v>
      </c>
      <c r="I306" s="1"/>
      <c r="J306" s="1"/>
      <c r="K306" s="1"/>
    </row>
    <row r="307" spans="1:11">
      <c r="A307" s="7"/>
      <c r="B307" s="7"/>
      <c r="C307" s="1">
        <v>306</v>
      </c>
      <c r="D307" s="1" t="s">
        <v>25</v>
      </c>
      <c r="E307" s="1">
        <v>5</v>
      </c>
      <c r="F307" s="7"/>
      <c r="G307" s="7"/>
      <c r="H307" s="7"/>
      <c r="I307" s="1"/>
      <c r="J307" s="1"/>
      <c r="K307" s="1"/>
    </row>
    <row r="308" spans="1:11">
      <c r="A308" s="7"/>
      <c r="B308" s="7"/>
      <c r="C308" s="1">
        <v>307</v>
      </c>
      <c r="D308" s="1" t="s">
        <v>25</v>
      </c>
      <c r="E308" s="1">
        <v>5</v>
      </c>
      <c r="F308" s="7"/>
      <c r="G308" s="7"/>
      <c r="H308" s="7"/>
      <c r="I308" s="1"/>
      <c r="J308" s="1"/>
      <c r="K308" s="1"/>
    </row>
    <row r="309" spans="1:11">
      <c r="A309" s="7"/>
      <c r="B309" s="7"/>
      <c r="C309" s="1">
        <v>308</v>
      </c>
      <c r="D309" s="1" t="s">
        <v>33</v>
      </c>
      <c r="E309" s="1">
        <v>5</v>
      </c>
      <c r="F309" s="7"/>
      <c r="G309" s="7"/>
      <c r="H309" s="7"/>
      <c r="I309" s="1"/>
      <c r="J309" s="1"/>
      <c r="K309" s="1"/>
    </row>
    <row r="310" spans="1:11" ht="15.95" customHeight="1">
      <c r="A310" s="7"/>
      <c r="B310" s="7">
        <v>78</v>
      </c>
      <c r="C310" s="25">
        <v>309</v>
      </c>
      <c r="D310" s="1" t="s">
        <v>33</v>
      </c>
      <c r="E310" s="1">
        <v>0</v>
      </c>
      <c r="F310" s="8" t="s">
        <v>147</v>
      </c>
      <c r="G310" s="8" t="s">
        <v>189</v>
      </c>
      <c r="H310" s="8" t="s">
        <v>148</v>
      </c>
      <c r="I310" s="1"/>
      <c r="J310" s="1"/>
      <c r="K310" s="1"/>
    </row>
    <row r="311" spans="1:11">
      <c r="A311" s="7"/>
      <c r="B311" s="7"/>
      <c r="C311" s="1">
        <v>310</v>
      </c>
      <c r="D311" s="1" t="s">
        <v>33</v>
      </c>
      <c r="E311" s="1">
        <v>5</v>
      </c>
      <c r="F311" s="7"/>
      <c r="G311" s="7"/>
      <c r="H311" s="7"/>
      <c r="I311" s="1"/>
      <c r="J311" s="1"/>
      <c r="K311" s="1"/>
    </row>
    <row r="312" spans="1:11">
      <c r="A312" s="7"/>
      <c r="B312" s="7"/>
      <c r="C312" s="1">
        <v>311</v>
      </c>
      <c r="D312" s="1" t="s">
        <v>33</v>
      </c>
      <c r="E312" s="1">
        <v>5</v>
      </c>
      <c r="F312" s="7"/>
      <c r="G312" s="7"/>
      <c r="H312" s="7"/>
      <c r="I312" s="1"/>
      <c r="J312" s="1"/>
      <c r="K312" s="1"/>
    </row>
    <row r="313" spans="1:11">
      <c r="A313" s="7"/>
      <c r="B313" s="7"/>
      <c r="C313" s="1">
        <v>312</v>
      </c>
      <c r="D313" s="1" t="s">
        <v>33</v>
      </c>
      <c r="E313" s="1">
        <v>5</v>
      </c>
      <c r="F313" s="7"/>
      <c r="G313" s="7"/>
      <c r="H313" s="7"/>
      <c r="I313" s="1"/>
      <c r="J313" s="1"/>
      <c r="K313" s="1"/>
    </row>
    <row r="314" spans="1:11" ht="15.95" customHeight="1">
      <c r="A314" s="7"/>
      <c r="B314" s="7">
        <v>79</v>
      </c>
      <c r="C314" s="1">
        <v>313</v>
      </c>
      <c r="D314" s="1" t="s">
        <v>25</v>
      </c>
      <c r="E314" s="1">
        <v>5</v>
      </c>
      <c r="F314" s="7"/>
      <c r="G314" s="8" t="s">
        <v>190</v>
      </c>
      <c r="H314" s="8" t="s">
        <v>159</v>
      </c>
      <c r="I314" s="1"/>
      <c r="J314" s="1"/>
      <c r="K314" s="1"/>
    </row>
    <row r="315" spans="1:11">
      <c r="A315" s="7"/>
      <c r="B315" s="7"/>
      <c r="C315" s="1">
        <v>314</v>
      </c>
      <c r="D315" s="1" t="s">
        <v>25</v>
      </c>
      <c r="E315" s="1">
        <v>5</v>
      </c>
      <c r="F315" s="7"/>
      <c r="G315" s="7"/>
      <c r="H315" s="7"/>
      <c r="I315" s="1"/>
      <c r="J315" s="1"/>
      <c r="K315" s="1"/>
    </row>
    <row r="316" spans="1:11">
      <c r="A316" s="7"/>
      <c r="B316" s="7"/>
      <c r="C316" s="1">
        <v>315</v>
      </c>
      <c r="D316" s="1" t="s">
        <v>25</v>
      </c>
      <c r="E316" s="1">
        <v>5</v>
      </c>
      <c r="F316" s="7"/>
      <c r="G316" s="7"/>
      <c r="H316" s="7"/>
      <c r="I316" s="1"/>
      <c r="J316" s="1"/>
      <c r="K316" s="1"/>
    </row>
    <row r="317" spans="1:11">
      <c r="A317" s="7"/>
      <c r="B317" s="7"/>
      <c r="C317" s="1">
        <v>316</v>
      </c>
      <c r="D317" s="1" t="s">
        <v>33</v>
      </c>
      <c r="E317" s="1">
        <v>5</v>
      </c>
      <c r="F317" s="7"/>
      <c r="G317" s="7"/>
      <c r="H317" s="7"/>
      <c r="I317" s="1"/>
      <c r="J317" s="1"/>
      <c r="K317" s="1"/>
    </row>
    <row r="318" spans="1:11" ht="15.95" customHeight="1">
      <c r="A318" s="7"/>
      <c r="B318" s="7">
        <v>80</v>
      </c>
      <c r="C318" s="1">
        <v>317</v>
      </c>
      <c r="D318" s="1" t="s">
        <v>33</v>
      </c>
      <c r="E318" s="1">
        <v>5</v>
      </c>
      <c r="F318" s="8" t="s">
        <v>150</v>
      </c>
      <c r="G318" s="8" t="s">
        <v>191</v>
      </c>
      <c r="H318" s="8" t="s">
        <v>160</v>
      </c>
      <c r="I318" s="1"/>
      <c r="J318" s="1"/>
      <c r="K318" s="1"/>
    </row>
    <row r="319" spans="1:11">
      <c r="A319" s="7"/>
      <c r="B319" s="7"/>
      <c r="C319" s="1">
        <v>318</v>
      </c>
      <c r="D319" s="1" t="s">
        <v>41</v>
      </c>
      <c r="E319" s="1">
        <v>5</v>
      </c>
      <c r="F319" s="7"/>
      <c r="G319" s="7"/>
      <c r="H319" s="7"/>
      <c r="I319" s="1"/>
      <c r="J319" s="1"/>
      <c r="K319" s="1"/>
    </row>
    <row r="320" spans="1:11">
      <c r="A320" s="7"/>
      <c r="B320" s="7"/>
      <c r="C320" s="1">
        <v>319</v>
      </c>
      <c r="D320" s="1" t="s">
        <v>41</v>
      </c>
      <c r="E320" s="1">
        <v>5</v>
      </c>
      <c r="F320" s="7"/>
      <c r="G320" s="7"/>
      <c r="H320" s="7"/>
      <c r="I320" s="1"/>
      <c r="J320" s="1"/>
      <c r="K320" s="1"/>
    </row>
    <row r="321" spans="1:11">
      <c r="A321" s="7"/>
      <c r="B321" s="7"/>
      <c r="C321" s="1">
        <v>320</v>
      </c>
      <c r="D321" s="1" t="s">
        <v>33</v>
      </c>
      <c r="E321" s="1">
        <v>5</v>
      </c>
      <c r="F321" s="7"/>
      <c r="G321" s="7"/>
      <c r="H321" s="7"/>
      <c r="I321" s="1"/>
      <c r="J321" s="1"/>
      <c r="K321" s="1"/>
    </row>
    <row r="322" spans="1:11" ht="15.95" customHeight="1">
      <c r="A322" s="7"/>
      <c r="B322" s="7">
        <v>81</v>
      </c>
      <c r="C322" s="1">
        <v>321</v>
      </c>
      <c r="D322" s="1" t="s">
        <v>33</v>
      </c>
      <c r="E322" s="1">
        <v>5</v>
      </c>
      <c r="F322" s="7" t="s">
        <v>151</v>
      </c>
      <c r="G322" s="8" t="s">
        <v>168</v>
      </c>
      <c r="H322" s="8" t="s">
        <v>169</v>
      </c>
      <c r="I322" s="1"/>
      <c r="J322" s="1"/>
      <c r="K322" s="1"/>
    </row>
    <row r="323" spans="1:11">
      <c r="A323" s="7"/>
      <c r="B323" s="7"/>
      <c r="C323" s="1">
        <v>322</v>
      </c>
      <c r="D323" s="1" t="s">
        <v>25</v>
      </c>
      <c r="E323" s="1">
        <v>5</v>
      </c>
      <c r="F323" s="7"/>
      <c r="G323" s="7"/>
      <c r="H323" s="8"/>
      <c r="I323" s="1"/>
      <c r="J323" s="1"/>
      <c r="K323" s="1"/>
    </row>
    <row r="324" spans="1:11">
      <c r="A324" s="7"/>
      <c r="B324" s="7"/>
      <c r="C324" s="1">
        <v>323</v>
      </c>
      <c r="D324" s="1" t="s">
        <v>25</v>
      </c>
      <c r="E324" s="1">
        <v>5</v>
      </c>
      <c r="F324" s="7"/>
      <c r="G324" s="7"/>
      <c r="H324" s="8"/>
      <c r="I324" s="1"/>
      <c r="J324" s="1"/>
      <c r="K324" s="1"/>
    </row>
    <row r="325" spans="1:11">
      <c r="A325" s="7"/>
      <c r="B325" s="7"/>
      <c r="C325" s="1">
        <v>324</v>
      </c>
      <c r="D325" s="1" t="s">
        <v>25</v>
      </c>
      <c r="E325" s="1">
        <v>5</v>
      </c>
      <c r="F325" s="7"/>
      <c r="G325" s="7"/>
      <c r="H325" s="8"/>
      <c r="I325" s="1"/>
      <c r="J325" s="1"/>
      <c r="K325" s="1"/>
    </row>
    <row r="326" spans="1:11" ht="15.95" customHeight="1">
      <c r="A326" s="7"/>
      <c r="B326" s="7">
        <v>82</v>
      </c>
      <c r="C326" s="1">
        <v>325</v>
      </c>
      <c r="D326" s="1" t="s">
        <v>33</v>
      </c>
      <c r="E326" s="1">
        <v>3</v>
      </c>
      <c r="F326" s="8" t="s">
        <v>152</v>
      </c>
      <c r="G326" s="8" t="s">
        <v>170</v>
      </c>
      <c r="H326" s="8" t="s">
        <v>153</v>
      </c>
      <c r="I326" s="1"/>
      <c r="J326" s="1"/>
      <c r="K326" s="1"/>
    </row>
    <row r="327" spans="1:11">
      <c r="A327" s="7"/>
      <c r="B327" s="7"/>
      <c r="C327" s="1">
        <v>326</v>
      </c>
      <c r="D327" s="1" t="s">
        <v>33</v>
      </c>
      <c r="E327" s="1">
        <v>3</v>
      </c>
      <c r="F327" s="7"/>
      <c r="G327" s="7"/>
      <c r="H327" s="7"/>
      <c r="I327" s="1"/>
      <c r="J327" s="1"/>
      <c r="K327" s="1"/>
    </row>
    <row r="328" spans="1:11">
      <c r="A328" s="7"/>
      <c r="B328" s="7"/>
      <c r="C328" s="1">
        <v>327</v>
      </c>
      <c r="D328" s="1" t="s">
        <v>33</v>
      </c>
      <c r="E328" s="1">
        <v>4</v>
      </c>
      <c r="F328" s="7"/>
      <c r="G328" s="7"/>
      <c r="H328" s="7"/>
      <c r="I328" s="1"/>
      <c r="J328" s="1"/>
      <c r="K328" s="1"/>
    </row>
    <row r="329" spans="1:11">
      <c r="A329" s="7"/>
      <c r="B329" s="7"/>
      <c r="C329" s="1">
        <v>328</v>
      </c>
      <c r="D329" s="1" t="s">
        <v>33</v>
      </c>
      <c r="E329" s="1">
        <v>1</v>
      </c>
      <c r="F329" s="7"/>
      <c r="G329" s="7"/>
      <c r="H329" s="7"/>
      <c r="I329" s="1"/>
      <c r="J329" s="1"/>
      <c r="K329" s="1"/>
    </row>
    <row r="330" spans="1:11" ht="15.95" customHeight="1">
      <c r="A330" s="7">
        <v>14</v>
      </c>
      <c r="B330" s="7">
        <v>83</v>
      </c>
      <c r="C330" s="1">
        <f>C329+1</f>
        <v>329</v>
      </c>
      <c r="D330" s="1" t="s">
        <v>25</v>
      </c>
      <c r="E330" s="1">
        <v>5</v>
      </c>
      <c r="F330" s="7"/>
      <c r="G330" s="8" t="s">
        <v>171</v>
      </c>
      <c r="H330" s="8" t="s">
        <v>164</v>
      </c>
      <c r="I330" s="1"/>
      <c r="J330" s="1"/>
      <c r="K330" s="1"/>
    </row>
    <row r="331" spans="1:11">
      <c r="A331" s="7"/>
      <c r="B331" s="7"/>
      <c r="C331" s="1">
        <f t="shared" ref="C331:C353" si="5">C330+1</f>
        <v>330</v>
      </c>
      <c r="D331" s="1" t="s">
        <v>25</v>
      </c>
      <c r="E331" s="1">
        <v>5</v>
      </c>
      <c r="F331" s="7"/>
      <c r="G331" s="7"/>
      <c r="H331" s="7"/>
      <c r="I331" s="1"/>
      <c r="J331" s="1"/>
      <c r="K331" s="1"/>
    </row>
    <row r="332" spans="1:11">
      <c r="A332" s="7"/>
      <c r="B332" s="7"/>
      <c r="C332" s="1">
        <f t="shared" si="5"/>
        <v>331</v>
      </c>
      <c r="D332" s="1" t="s">
        <v>25</v>
      </c>
      <c r="E332" s="1">
        <v>4</v>
      </c>
      <c r="F332" s="7"/>
      <c r="G332" s="7"/>
      <c r="H332" s="7"/>
      <c r="I332" s="1"/>
      <c r="J332" s="1"/>
      <c r="K332" s="1"/>
    </row>
    <row r="333" spans="1:11">
      <c r="A333" s="7"/>
      <c r="B333" s="7"/>
      <c r="C333" s="1">
        <f t="shared" si="5"/>
        <v>332</v>
      </c>
      <c r="D333" s="1" t="s">
        <v>25</v>
      </c>
      <c r="E333" s="1">
        <v>5</v>
      </c>
      <c r="F333" s="7"/>
      <c r="G333" s="7"/>
      <c r="H333" s="7"/>
      <c r="I333" s="1"/>
      <c r="J333" s="1"/>
      <c r="K333" s="1"/>
    </row>
    <row r="334" spans="1:11" ht="15.95" customHeight="1">
      <c r="A334" s="7"/>
      <c r="B334" s="7">
        <v>84</v>
      </c>
      <c r="C334" s="1">
        <f t="shared" si="5"/>
        <v>333</v>
      </c>
      <c r="D334" s="1" t="s">
        <v>33</v>
      </c>
      <c r="E334" s="1">
        <v>5</v>
      </c>
      <c r="F334" s="8" t="s">
        <v>163</v>
      </c>
      <c r="G334" s="15" t="s">
        <v>161</v>
      </c>
      <c r="H334" s="8" t="s">
        <v>162</v>
      </c>
      <c r="I334" s="1"/>
      <c r="J334" s="1"/>
      <c r="K334" s="1"/>
    </row>
    <row r="335" spans="1:11">
      <c r="A335" s="7"/>
      <c r="B335" s="7"/>
      <c r="C335" s="1">
        <f t="shared" si="5"/>
        <v>334</v>
      </c>
      <c r="D335" s="1" t="s">
        <v>41</v>
      </c>
      <c r="E335" s="1">
        <v>5</v>
      </c>
      <c r="F335" s="8"/>
      <c r="G335" s="16"/>
      <c r="H335" s="8"/>
      <c r="I335" s="1"/>
      <c r="J335" s="1"/>
      <c r="K335" s="1"/>
    </row>
    <row r="336" spans="1:11">
      <c r="A336" s="7"/>
      <c r="B336" s="7"/>
      <c r="C336" s="1">
        <f t="shared" si="5"/>
        <v>335</v>
      </c>
      <c r="D336" s="1" t="s">
        <v>145</v>
      </c>
      <c r="E336" s="1">
        <v>5</v>
      </c>
      <c r="F336" s="8"/>
      <c r="G336" s="16"/>
      <c r="H336" s="8"/>
      <c r="I336" s="1"/>
      <c r="J336" s="1"/>
      <c r="K336" s="1"/>
    </row>
    <row r="337" spans="1:11">
      <c r="A337" s="7"/>
      <c r="B337" s="7"/>
      <c r="C337" s="1">
        <f t="shared" si="5"/>
        <v>336</v>
      </c>
      <c r="D337" s="1" t="s">
        <v>41</v>
      </c>
      <c r="E337" s="1">
        <v>5</v>
      </c>
      <c r="F337" s="8"/>
      <c r="G337" s="16"/>
      <c r="H337" s="8"/>
      <c r="I337" s="1"/>
      <c r="J337" s="1"/>
      <c r="K337" s="1"/>
    </row>
    <row r="338" spans="1:11" ht="15.95" customHeight="1">
      <c r="A338" s="7"/>
      <c r="B338" s="7">
        <v>85</v>
      </c>
      <c r="C338" s="1">
        <f t="shared" si="5"/>
        <v>337</v>
      </c>
      <c r="D338" s="1" t="s">
        <v>33</v>
      </c>
      <c r="E338" s="1">
        <v>5</v>
      </c>
      <c r="F338" s="7" t="s">
        <v>151</v>
      </c>
      <c r="G338" s="8" t="s">
        <v>166</v>
      </c>
      <c r="H338" s="9" t="s">
        <v>165</v>
      </c>
      <c r="I338" s="1"/>
      <c r="J338" s="1"/>
      <c r="K338" s="1"/>
    </row>
    <row r="339" spans="1:11">
      <c r="A339" s="7"/>
      <c r="B339" s="7"/>
      <c r="C339" s="1">
        <f t="shared" si="5"/>
        <v>338</v>
      </c>
      <c r="D339" s="1" t="s">
        <v>25</v>
      </c>
      <c r="E339" s="1">
        <v>5</v>
      </c>
      <c r="F339" s="7"/>
      <c r="G339" s="7"/>
      <c r="H339" s="9"/>
      <c r="I339" s="1"/>
      <c r="J339" s="1"/>
      <c r="K339" s="1"/>
    </row>
    <row r="340" spans="1:11">
      <c r="A340" s="7"/>
      <c r="B340" s="7"/>
      <c r="C340" s="1">
        <f t="shared" si="5"/>
        <v>339</v>
      </c>
      <c r="D340" s="1" t="s">
        <v>25</v>
      </c>
      <c r="E340" s="1">
        <v>5</v>
      </c>
      <c r="F340" s="7"/>
      <c r="G340" s="7"/>
      <c r="H340" s="9"/>
      <c r="I340" s="1"/>
      <c r="J340" s="1"/>
      <c r="K340" s="1"/>
    </row>
    <row r="341" spans="1:11">
      <c r="A341" s="7"/>
      <c r="B341" s="7"/>
      <c r="C341" s="1">
        <f t="shared" si="5"/>
        <v>340</v>
      </c>
      <c r="D341" s="1" t="s">
        <v>25</v>
      </c>
      <c r="E341" s="1">
        <v>4</v>
      </c>
      <c r="F341" s="7"/>
      <c r="G341" s="7"/>
      <c r="H341" s="9"/>
      <c r="I341" s="1"/>
      <c r="J341" s="1"/>
      <c r="K341" s="1"/>
    </row>
    <row r="342" spans="1:11" ht="15.95" customHeight="1">
      <c r="A342" s="7"/>
      <c r="B342" s="7">
        <v>86</v>
      </c>
      <c r="C342" s="1">
        <f t="shared" si="5"/>
        <v>341</v>
      </c>
      <c r="D342" s="1" t="s">
        <v>33</v>
      </c>
      <c r="E342" s="22">
        <v>4</v>
      </c>
      <c r="F342" s="8" t="s">
        <v>172</v>
      </c>
      <c r="G342" s="8" t="s">
        <v>173</v>
      </c>
      <c r="H342" s="8" t="s">
        <v>174</v>
      </c>
      <c r="I342" s="1"/>
      <c r="J342" s="1"/>
      <c r="K342" s="1"/>
    </row>
    <row r="343" spans="1:11">
      <c r="A343" s="7"/>
      <c r="B343" s="7"/>
      <c r="C343" s="1">
        <f t="shared" si="5"/>
        <v>342</v>
      </c>
      <c r="D343" s="1" t="s">
        <v>33</v>
      </c>
      <c r="E343" s="1">
        <v>0</v>
      </c>
      <c r="F343" s="8"/>
      <c r="G343" s="7"/>
      <c r="H343" s="8"/>
      <c r="I343" s="1"/>
      <c r="J343" s="1"/>
      <c r="K343" s="1"/>
    </row>
    <row r="344" spans="1:11">
      <c r="A344" s="7"/>
      <c r="B344" s="7"/>
      <c r="C344" s="1">
        <f t="shared" si="5"/>
        <v>343</v>
      </c>
      <c r="D344" s="1" t="s">
        <v>41</v>
      </c>
      <c r="E344" s="1">
        <v>4</v>
      </c>
      <c r="F344" s="8"/>
      <c r="G344" s="7"/>
      <c r="H344" s="8"/>
      <c r="I344" s="1"/>
      <c r="J344" s="1"/>
      <c r="K344" s="1"/>
    </row>
    <row r="345" spans="1:11">
      <c r="A345" s="7"/>
      <c r="B345" s="7"/>
      <c r="C345" s="1">
        <f t="shared" si="5"/>
        <v>344</v>
      </c>
      <c r="D345" s="1" t="s">
        <v>145</v>
      </c>
      <c r="E345" s="22">
        <v>4</v>
      </c>
      <c r="F345" s="8"/>
      <c r="G345" s="7"/>
      <c r="H345" s="8"/>
      <c r="I345" s="1"/>
      <c r="J345" s="1"/>
      <c r="K345" s="1"/>
    </row>
    <row r="346" spans="1:11" ht="15.95" customHeight="1">
      <c r="A346" s="7"/>
      <c r="B346" s="7">
        <v>87</v>
      </c>
      <c r="C346" s="1">
        <f t="shared" si="5"/>
        <v>345</v>
      </c>
      <c r="D346" s="1" t="s">
        <v>41</v>
      </c>
      <c r="E346" s="1">
        <v>4</v>
      </c>
      <c r="F346" s="7" t="s">
        <v>151</v>
      </c>
      <c r="G346" s="15" t="s">
        <v>175</v>
      </c>
      <c r="H346" s="9" t="s">
        <v>176</v>
      </c>
      <c r="I346" s="1"/>
      <c r="J346" s="1"/>
      <c r="K346" s="1"/>
    </row>
    <row r="347" spans="1:11">
      <c r="A347" s="7"/>
      <c r="B347" s="7"/>
      <c r="C347" s="1">
        <f t="shared" si="5"/>
        <v>346</v>
      </c>
      <c r="D347" s="1" t="s">
        <v>33</v>
      </c>
      <c r="E347" s="1">
        <v>4</v>
      </c>
      <c r="F347" s="7"/>
      <c r="G347" s="16"/>
      <c r="H347" s="9"/>
      <c r="I347" s="1"/>
      <c r="J347" s="1"/>
      <c r="K347" s="1"/>
    </row>
    <row r="348" spans="1:11">
      <c r="A348" s="7"/>
      <c r="B348" s="7"/>
      <c r="C348" s="1">
        <f t="shared" si="5"/>
        <v>347</v>
      </c>
      <c r="D348" s="1" t="s">
        <v>25</v>
      </c>
      <c r="E348" s="1">
        <v>4</v>
      </c>
      <c r="F348" s="7"/>
      <c r="G348" s="16"/>
      <c r="H348" s="9"/>
      <c r="I348" s="1"/>
      <c r="J348" s="1"/>
      <c r="K348" s="1"/>
    </row>
    <row r="349" spans="1:11">
      <c r="A349" s="7"/>
      <c r="B349" s="7"/>
      <c r="C349" s="1">
        <f t="shared" si="5"/>
        <v>348</v>
      </c>
      <c r="D349" s="1" t="s">
        <v>25</v>
      </c>
      <c r="E349" s="1">
        <v>4</v>
      </c>
      <c r="F349" s="7"/>
      <c r="G349" s="16"/>
      <c r="H349" s="9"/>
      <c r="I349" s="1"/>
      <c r="J349" s="1"/>
      <c r="K349" s="1"/>
    </row>
    <row r="350" spans="1:11" ht="15.95" customHeight="1">
      <c r="A350" s="7"/>
      <c r="B350" s="7">
        <v>88</v>
      </c>
      <c r="C350" s="1">
        <f t="shared" si="5"/>
        <v>349</v>
      </c>
      <c r="D350" s="1" t="s">
        <v>25</v>
      </c>
      <c r="E350" s="1">
        <v>4</v>
      </c>
      <c r="F350" s="8" t="s">
        <v>58</v>
      </c>
      <c r="G350" s="15" t="s">
        <v>177</v>
      </c>
      <c r="H350" s="8" t="s">
        <v>178</v>
      </c>
      <c r="I350" s="1"/>
      <c r="J350" s="1"/>
      <c r="K350" s="1"/>
    </row>
    <row r="351" spans="1:11">
      <c r="A351" s="7"/>
      <c r="B351" s="7"/>
      <c r="C351" s="1">
        <f t="shared" si="5"/>
        <v>350</v>
      </c>
      <c r="D351" s="1" t="s">
        <v>33</v>
      </c>
      <c r="E351" s="1">
        <v>4</v>
      </c>
      <c r="F351" s="7"/>
      <c r="G351" s="16"/>
      <c r="H351" s="9"/>
      <c r="I351" s="1"/>
      <c r="J351" s="1"/>
      <c r="K351" s="1"/>
    </row>
    <row r="352" spans="1:11">
      <c r="A352" s="7"/>
      <c r="B352" s="7"/>
      <c r="C352" s="25">
        <f t="shared" si="5"/>
        <v>351</v>
      </c>
      <c r="D352" s="1" t="s">
        <v>33</v>
      </c>
      <c r="E352" s="1">
        <v>2</v>
      </c>
      <c r="F352" s="7"/>
      <c r="G352" s="16"/>
      <c r="H352" s="9"/>
      <c r="I352" s="1"/>
      <c r="J352" s="1"/>
      <c r="K352" s="1"/>
    </row>
    <row r="353" spans="1:11">
      <c r="A353" s="7"/>
      <c r="B353" s="7"/>
      <c r="C353" s="1">
        <f t="shared" si="5"/>
        <v>352</v>
      </c>
      <c r="D353" s="1" t="s">
        <v>41</v>
      </c>
      <c r="E353" s="1">
        <v>4</v>
      </c>
      <c r="F353" s="7"/>
      <c r="G353" s="16"/>
      <c r="H353" s="9"/>
      <c r="I353" s="1"/>
      <c r="J353" s="1"/>
      <c r="K353" s="1"/>
    </row>
    <row r="354" spans="1:11" ht="15.95" customHeight="1">
      <c r="A354" s="7">
        <v>15</v>
      </c>
      <c r="B354" s="7">
        <v>89</v>
      </c>
      <c r="C354" s="1">
        <v>353</v>
      </c>
      <c r="D354" s="1" t="s">
        <v>41</v>
      </c>
      <c r="E354" s="1">
        <v>4</v>
      </c>
      <c r="F354" s="8" t="s">
        <v>83</v>
      </c>
      <c r="G354" s="15" t="s">
        <v>194</v>
      </c>
      <c r="H354" s="8" t="s">
        <v>195</v>
      </c>
      <c r="I354" s="1"/>
      <c r="J354" s="1"/>
      <c r="K354" s="1"/>
    </row>
    <row r="355" spans="1:11">
      <c r="A355" s="7"/>
      <c r="B355" s="7"/>
      <c r="C355" s="1">
        <v>354</v>
      </c>
      <c r="D355" s="1" t="s">
        <v>33</v>
      </c>
      <c r="E355" s="1">
        <v>3</v>
      </c>
      <c r="F355" s="7"/>
      <c r="G355" s="16"/>
      <c r="H355" s="9"/>
      <c r="I355" s="1"/>
      <c r="J355" s="1"/>
      <c r="K355" s="1"/>
    </row>
    <row r="356" spans="1:11">
      <c r="A356" s="7"/>
      <c r="B356" s="7"/>
      <c r="C356" s="1">
        <v>355</v>
      </c>
      <c r="D356" s="1" t="s">
        <v>25</v>
      </c>
      <c r="E356" s="1">
        <v>4</v>
      </c>
      <c r="F356" s="7"/>
      <c r="G356" s="16"/>
      <c r="H356" s="9"/>
      <c r="I356" s="1"/>
      <c r="J356" s="1"/>
      <c r="K356" s="1"/>
    </row>
    <row r="357" spans="1:11">
      <c r="A357" s="7"/>
      <c r="B357" s="7"/>
      <c r="C357" s="1">
        <v>356</v>
      </c>
      <c r="D357" s="1" t="s">
        <v>25</v>
      </c>
      <c r="E357" s="1">
        <v>4</v>
      </c>
      <c r="F357" s="7"/>
      <c r="G357" s="16"/>
      <c r="H357" s="9"/>
      <c r="I357" s="1"/>
      <c r="J357" s="1"/>
      <c r="K357" s="1"/>
    </row>
    <row r="358" spans="1:11" ht="15.95" customHeight="1">
      <c r="A358" s="7"/>
      <c r="B358" s="7">
        <v>90</v>
      </c>
      <c r="C358" s="1">
        <v>357</v>
      </c>
      <c r="D358" s="1" t="s">
        <v>25</v>
      </c>
      <c r="E358" s="1">
        <v>5</v>
      </c>
      <c r="F358" s="8" t="s">
        <v>181</v>
      </c>
      <c r="G358" s="21" t="s">
        <v>196</v>
      </c>
      <c r="H358" s="8" t="s">
        <v>198</v>
      </c>
      <c r="I358" s="7" t="s">
        <v>179</v>
      </c>
      <c r="J358" s="1"/>
      <c r="K358" s="1"/>
    </row>
    <row r="359" spans="1:11">
      <c r="A359" s="7"/>
      <c r="B359" s="7"/>
      <c r="C359" s="1">
        <f>C358+1</f>
        <v>358</v>
      </c>
      <c r="D359" s="1" t="s">
        <v>25</v>
      </c>
      <c r="E359" s="1">
        <v>5</v>
      </c>
      <c r="F359" s="7"/>
      <c r="G359" s="21"/>
      <c r="H359" s="7"/>
      <c r="I359" s="7"/>
      <c r="J359" s="1"/>
      <c r="K359" s="1"/>
    </row>
    <row r="360" spans="1:11">
      <c r="A360" s="7"/>
      <c r="B360" s="7"/>
      <c r="C360" s="1">
        <f t="shared" ref="C360:C378" si="6">C359+1</f>
        <v>359</v>
      </c>
      <c r="D360" s="1" t="s">
        <v>33</v>
      </c>
      <c r="E360" s="1">
        <v>5</v>
      </c>
      <c r="F360" s="7"/>
      <c r="G360" s="21"/>
      <c r="H360" s="7"/>
      <c r="I360" s="7"/>
      <c r="J360" s="1"/>
      <c r="K360" s="1"/>
    </row>
    <row r="361" spans="1:11">
      <c r="A361" s="7"/>
      <c r="B361" s="7"/>
      <c r="C361" s="1">
        <f t="shared" si="6"/>
        <v>360</v>
      </c>
      <c r="D361" s="1" t="s">
        <v>41</v>
      </c>
      <c r="E361" s="1">
        <v>4</v>
      </c>
      <c r="F361" s="7"/>
      <c r="G361" s="21"/>
      <c r="H361" s="7"/>
      <c r="I361" s="7"/>
      <c r="J361" s="1"/>
      <c r="K361" s="1"/>
    </row>
    <row r="362" spans="1:11" ht="15.95" customHeight="1">
      <c r="A362" s="7"/>
      <c r="B362" s="7">
        <v>91</v>
      </c>
      <c r="C362" s="1">
        <f t="shared" si="6"/>
        <v>361</v>
      </c>
      <c r="D362" s="1" t="s">
        <v>145</v>
      </c>
      <c r="E362" s="1">
        <v>5</v>
      </c>
      <c r="F362" s="8" t="s">
        <v>151</v>
      </c>
      <c r="G362" s="21" t="s">
        <v>199</v>
      </c>
      <c r="H362" s="8" t="s">
        <v>197</v>
      </c>
      <c r="I362" s="7" t="s">
        <v>180</v>
      </c>
      <c r="J362" s="1"/>
      <c r="K362" s="1"/>
    </row>
    <row r="363" spans="1:11">
      <c r="A363" s="7"/>
      <c r="B363" s="7"/>
      <c r="C363" s="1">
        <f t="shared" si="6"/>
        <v>362</v>
      </c>
      <c r="D363" s="1" t="s">
        <v>41</v>
      </c>
      <c r="E363" s="1">
        <v>5</v>
      </c>
      <c r="F363" s="7"/>
      <c r="G363" s="21"/>
      <c r="H363" s="9"/>
      <c r="I363" s="7"/>
      <c r="J363" s="1"/>
      <c r="K363" s="1"/>
    </row>
    <row r="364" spans="1:11">
      <c r="A364" s="7"/>
      <c r="B364" s="7"/>
      <c r="C364" s="1">
        <f t="shared" si="6"/>
        <v>363</v>
      </c>
      <c r="D364" s="1" t="s">
        <v>33</v>
      </c>
      <c r="E364" s="1">
        <v>5</v>
      </c>
      <c r="F364" s="7"/>
      <c r="G364" s="21"/>
      <c r="H364" s="9"/>
      <c r="I364" s="7"/>
      <c r="J364" s="1"/>
      <c r="K364" s="1"/>
    </row>
    <row r="365" spans="1:11">
      <c r="A365" s="7"/>
      <c r="B365" s="7"/>
      <c r="C365" s="1">
        <f t="shared" si="6"/>
        <v>364</v>
      </c>
      <c r="D365" s="1" t="s">
        <v>25</v>
      </c>
      <c r="E365" s="1">
        <v>5</v>
      </c>
      <c r="F365" s="7"/>
      <c r="G365" s="21"/>
      <c r="H365" s="9"/>
      <c r="I365" s="7"/>
      <c r="J365" s="1"/>
      <c r="K365" s="1"/>
    </row>
    <row r="366" spans="1:11" ht="15.95" customHeight="1">
      <c r="A366" s="7"/>
      <c r="B366" s="7">
        <v>92</v>
      </c>
      <c r="C366" s="1">
        <f t="shared" si="6"/>
        <v>365</v>
      </c>
      <c r="D366" s="1" t="s">
        <v>25</v>
      </c>
      <c r="E366" s="23">
        <v>5</v>
      </c>
      <c r="F366" s="8" t="s">
        <v>151</v>
      </c>
      <c r="G366" s="21" t="s">
        <v>200</v>
      </c>
      <c r="H366" s="8" t="s">
        <v>201</v>
      </c>
      <c r="I366" s="7" t="s">
        <v>179</v>
      </c>
      <c r="J366" s="1"/>
      <c r="K366" s="1"/>
    </row>
    <row r="367" spans="1:11">
      <c r="A367" s="7"/>
      <c r="B367" s="7"/>
      <c r="C367" s="1">
        <f t="shared" si="6"/>
        <v>366</v>
      </c>
      <c r="D367" s="1" t="s">
        <v>25</v>
      </c>
      <c r="E367" s="23">
        <v>5</v>
      </c>
      <c r="F367" s="7"/>
      <c r="G367" s="21"/>
      <c r="H367" s="9"/>
      <c r="I367" s="7"/>
      <c r="J367" s="1"/>
      <c r="K367" s="1"/>
    </row>
    <row r="368" spans="1:11">
      <c r="A368" s="7"/>
      <c r="B368" s="7"/>
      <c r="C368" s="1">
        <f t="shared" si="6"/>
        <v>367</v>
      </c>
      <c r="D368" s="1" t="s">
        <v>25</v>
      </c>
      <c r="E368" s="23">
        <v>5</v>
      </c>
      <c r="F368" s="7"/>
      <c r="G368" s="21"/>
      <c r="H368" s="9"/>
      <c r="I368" s="7"/>
      <c r="J368" s="1"/>
      <c r="K368" s="1"/>
    </row>
    <row r="369" spans="1:11">
      <c r="A369" s="7"/>
      <c r="B369" s="7"/>
      <c r="C369" s="1">
        <f t="shared" si="6"/>
        <v>368</v>
      </c>
      <c r="D369" s="1" t="s">
        <v>33</v>
      </c>
      <c r="E369" s="1">
        <v>3</v>
      </c>
      <c r="F369" s="7"/>
      <c r="G369" s="21"/>
      <c r="H369" s="9"/>
      <c r="I369" s="7"/>
      <c r="J369" s="1"/>
      <c r="K369" s="1"/>
    </row>
    <row r="370" spans="1:11">
      <c r="A370" s="7"/>
      <c r="B370" s="7">
        <v>93</v>
      </c>
      <c r="C370" s="25">
        <f t="shared" si="6"/>
        <v>369</v>
      </c>
      <c r="D370" s="1" t="s">
        <v>33</v>
      </c>
      <c r="E370" s="1">
        <v>0</v>
      </c>
      <c r="F370" s="8"/>
      <c r="G370" s="21" t="s">
        <v>202</v>
      </c>
      <c r="H370" s="8" t="s">
        <v>203</v>
      </c>
      <c r="I370" s="1"/>
      <c r="J370" s="1"/>
      <c r="K370" s="1"/>
    </row>
    <row r="371" spans="1:11">
      <c r="A371" s="7"/>
      <c r="B371" s="7"/>
      <c r="C371" s="1">
        <f t="shared" si="6"/>
        <v>370</v>
      </c>
      <c r="D371" s="1" t="s">
        <v>33</v>
      </c>
      <c r="E371" s="1">
        <v>2</v>
      </c>
      <c r="F371" s="7"/>
      <c r="G371" s="21"/>
      <c r="H371" s="9"/>
      <c r="I371" s="1"/>
      <c r="J371" s="1"/>
      <c r="K371" s="1"/>
    </row>
    <row r="372" spans="1:11">
      <c r="A372" s="7"/>
      <c r="B372" s="7"/>
      <c r="C372" s="25">
        <f t="shared" si="6"/>
        <v>371</v>
      </c>
      <c r="D372" s="1" t="s">
        <v>33</v>
      </c>
      <c r="E372" s="1">
        <v>0</v>
      </c>
      <c r="F372" s="7"/>
      <c r="G372" s="21"/>
      <c r="H372" s="9"/>
      <c r="I372" s="1"/>
      <c r="J372" s="1"/>
      <c r="K372" s="1"/>
    </row>
    <row r="373" spans="1:11">
      <c r="A373" s="7"/>
      <c r="B373" s="7"/>
      <c r="C373" s="1">
        <f t="shared" si="6"/>
        <v>372</v>
      </c>
      <c r="D373" s="1" t="s">
        <v>25</v>
      </c>
      <c r="E373" s="1">
        <v>5</v>
      </c>
      <c r="F373" s="7"/>
      <c r="G373" s="21"/>
      <c r="H373" s="9"/>
      <c r="I373" s="1"/>
      <c r="J373" s="1"/>
      <c r="K373" s="1"/>
    </row>
    <row r="374" spans="1:11" ht="15.95" customHeight="1">
      <c r="A374" s="7"/>
      <c r="B374" s="7">
        <v>94</v>
      </c>
      <c r="C374" s="1">
        <f t="shared" si="6"/>
        <v>373</v>
      </c>
      <c r="D374" s="1" t="s">
        <v>25</v>
      </c>
      <c r="E374" s="23">
        <v>5</v>
      </c>
      <c r="F374" s="8" t="s">
        <v>70</v>
      </c>
      <c r="G374" s="21" t="s">
        <v>205</v>
      </c>
      <c r="H374" s="8" t="s">
        <v>45</v>
      </c>
      <c r="I374" s="1"/>
      <c r="J374" s="1"/>
      <c r="K374" s="1"/>
    </row>
    <row r="375" spans="1:11">
      <c r="A375" s="7"/>
      <c r="B375" s="7"/>
      <c r="C375" s="1">
        <f t="shared" si="6"/>
        <v>374</v>
      </c>
      <c r="D375" s="1" t="s">
        <v>25</v>
      </c>
      <c r="E375" s="23">
        <v>5</v>
      </c>
      <c r="F375" s="7"/>
      <c r="G375" s="21"/>
      <c r="H375" s="7"/>
      <c r="I375" s="1"/>
      <c r="J375" s="1"/>
      <c r="K375" s="1"/>
    </row>
    <row r="376" spans="1:11">
      <c r="A376" s="7"/>
      <c r="B376" s="7"/>
      <c r="C376" s="1">
        <f>C375+1</f>
        <v>375</v>
      </c>
      <c r="D376" s="1" t="s">
        <v>25</v>
      </c>
      <c r="E376" s="23">
        <v>5</v>
      </c>
      <c r="F376" s="7"/>
      <c r="G376" s="21"/>
      <c r="H376" s="7"/>
      <c r="I376" s="1"/>
      <c r="J376" s="1"/>
      <c r="K376" s="1"/>
    </row>
    <row r="377" spans="1:11">
      <c r="A377" s="7"/>
      <c r="B377" s="7"/>
      <c r="C377" s="1">
        <f t="shared" si="6"/>
        <v>376</v>
      </c>
      <c r="D377" s="1" t="s">
        <v>33</v>
      </c>
      <c r="E377" s="1">
        <v>5</v>
      </c>
      <c r="F377" s="7"/>
      <c r="G377" s="21"/>
      <c r="H377" s="7"/>
      <c r="I377" s="1"/>
      <c r="J377" s="1"/>
      <c r="K377" s="1"/>
    </row>
    <row r="378" spans="1:11" ht="15.95" customHeight="1">
      <c r="A378" s="7">
        <v>16</v>
      </c>
      <c r="B378" s="7">
        <v>95</v>
      </c>
      <c r="C378" s="1">
        <f t="shared" si="6"/>
        <v>377</v>
      </c>
      <c r="D378" s="1" t="s">
        <v>33</v>
      </c>
      <c r="E378" s="1">
        <v>4</v>
      </c>
      <c r="F378" s="8" t="s">
        <v>193</v>
      </c>
      <c r="G378" s="21" t="s">
        <v>206</v>
      </c>
      <c r="H378" s="8" t="s">
        <v>207</v>
      </c>
      <c r="I378" s="1"/>
      <c r="J378" s="1"/>
      <c r="K378" s="1"/>
    </row>
    <row r="379" spans="1:11">
      <c r="A379" s="7"/>
      <c r="B379" s="7"/>
      <c r="C379" s="1">
        <f>C378+1</f>
        <v>378</v>
      </c>
      <c r="D379" s="1" t="s">
        <v>145</v>
      </c>
      <c r="E379" s="1">
        <v>5</v>
      </c>
      <c r="F379" s="7"/>
      <c r="G379" s="21"/>
      <c r="H379" s="7"/>
      <c r="I379" s="1"/>
      <c r="J379" s="1"/>
      <c r="K379" s="1"/>
    </row>
    <row r="380" spans="1:11">
      <c r="A380" s="7"/>
      <c r="B380" s="7"/>
      <c r="C380" s="1">
        <f>C379+1</f>
        <v>379</v>
      </c>
      <c r="D380" s="1" t="s">
        <v>145</v>
      </c>
      <c r="E380" s="1">
        <v>5</v>
      </c>
      <c r="F380" s="7"/>
      <c r="G380" s="21"/>
      <c r="H380" s="7"/>
      <c r="I380" s="1"/>
      <c r="J380" s="1"/>
      <c r="K380" s="1"/>
    </row>
    <row r="381" spans="1:11">
      <c r="A381" s="7"/>
      <c r="B381" s="7"/>
      <c r="C381" s="1">
        <f>C380+1</f>
        <v>380</v>
      </c>
      <c r="D381" s="1" t="s">
        <v>33</v>
      </c>
      <c r="E381" s="1">
        <v>4</v>
      </c>
      <c r="F381" s="7"/>
      <c r="G381" s="21"/>
      <c r="H381" s="7"/>
      <c r="I381" s="1"/>
      <c r="J381" s="1"/>
      <c r="K381" s="1"/>
    </row>
    <row r="382" spans="1:11">
      <c r="A382" s="7"/>
      <c r="B382" s="7">
        <v>96</v>
      </c>
      <c r="C382" s="1">
        <f>C381+1</f>
        <v>381</v>
      </c>
      <c r="D382" s="1" t="s">
        <v>33</v>
      </c>
      <c r="E382" s="1">
        <v>5</v>
      </c>
      <c r="F382" s="8" t="s">
        <v>111</v>
      </c>
      <c r="G382" s="21" t="s">
        <v>208</v>
      </c>
      <c r="H382" s="8" t="s">
        <v>209</v>
      </c>
      <c r="I382" s="1"/>
      <c r="J382" s="1"/>
      <c r="K382" s="1"/>
    </row>
    <row r="383" spans="1:11">
      <c r="A383" s="7"/>
      <c r="B383" s="7"/>
      <c r="C383" s="1">
        <f>C382+1</f>
        <v>382</v>
      </c>
      <c r="D383" s="1" t="s">
        <v>25</v>
      </c>
      <c r="E383" s="1">
        <v>5</v>
      </c>
      <c r="F383" s="7"/>
      <c r="G383" s="21"/>
      <c r="H383" s="7"/>
      <c r="I383" s="1"/>
      <c r="J383" s="1"/>
      <c r="K383" s="1"/>
    </row>
    <row r="384" spans="1:11">
      <c r="A384" s="7"/>
      <c r="B384" s="7"/>
      <c r="C384" s="1">
        <f t="shared" ref="C384:C401" si="7">C383+1</f>
        <v>383</v>
      </c>
      <c r="D384" s="1" t="s">
        <v>25</v>
      </c>
      <c r="E384" s="1">
        <v>5</v>
      </c>
      <c r="F384" s="7"/>
      <c r="G384" s="21"/>
      <c r="H384" s="7"/>
      <c r="I384" s="1"/>
      <c r="J384" s="1"/>
      <c r="K384" s="1"/>
    </row>
    <row r="385" spans="1:11">
      <c r="A385" s="7"/>
      <c r="B385" s="7"/>
      <c r="C385" s="1">
        <f t="shared" si="7"/>
        <v>384</v>
      </c>
      <c r="D385" s="1" t="s">
        <v>25</v>
      </c>
      <c r="E385" s="1">
        <v>5</v>
      </c>
      <c r="F385" s="7"/>
      <c r="G385" s="21"/>
      <c r="H385" s="7"/>
      <c r="I385" s="1"/>
      <c r="J385" s="1"/>
      <c r="K385" s="1"/>
    </row>
    <row r="386" spans="1:11" ht="15.95" customHeight="1">
      <c r="A386" s="7"/>
      <c r="B386" s="7">
        <v>97</v>
      </c>
      <c r="C386" s="1">
        <f t="shared" si="7"/>
        <v>385</v>
      </c>
      <c r="D386" s="1" t="s">
        <v>33</v>
      </c>
      <c r="E386" s="1">
        <v>5</v>
      </c>
      <c r="F386" s="8"/>
      <c r="G386" s="21" t="s">
        <v>210</v>
      </c>
      <c r="H386" s="8" t="s">
        <v>211</v>
      </c>
      <c r="I386" s="1"/>
      <c r="J386" s="1"/>
      <c r="K386" s="1"/>
    </row>
    <row r="387" spans="1:11">
      <c r="A387" s="7"/>
      <c r="B387" s="7"/>
      <c r="C387" s="1">
        <f t="shared" si="7"/>
        <v>386</v>
      </c>
      <c r="D387" s="1" t="s">
        <v>33</v>
      </c>
      <c r="E387" s="1">
        <v>3</v>
      </c>
      <c r="F387" s="7"/>
      <c r="G387" s="21"/>
      <c r="H387" s="7"/>
      <c r="I387" s="1"/>
      <c r="J387" s="1"/>
      <c r="K387" s="1"/>
    </row>
    <row r="388" spans="1:11">
      <c r="A388" s="7"/>
      <c r="B388" s="7"/>
      <c r="C388" s="1">
        <f t="shared" si="7"/>
        <v>387</v>
      </c>
      <c r="D388" s="1" t="s">
        <v>33</v>
      </c>
      <c r="E388" s="1">
        <v>5</v>
      </c>
      <c r="F388" s="7"/>
      <c r="G388" s="21"/>
      <c r="H388" s="7"/>
      <c r="I388" s="1"/>
      <c r="J388" s="1"/>
      <c r="K388" s="1"/>
    </row>
    <row r="389" spans="1:11">
      <c r="A389" s="7"/>
      <c r="B389" s="7"/>
      <c r="C389" s="28">
        <f>C388+1</f>
        <v>388</v>
      </c>
      <c r="D389" s="1" t="s">
        <v>33</v>
      </c>
      <c r="E389" s="1">
        <v>0</v>
      </c>
      <c r="F389" s="7"/>
      <c r="G389" s="21"/>
      <c r="H389" s="7"/>
      <c r="I389" s="1"/>
      <c r="J389" s="1"/>
      <c r="K389" s="1"/>
    </row>
    <row r="390" spans="1:11">
      <c r="A390" s="7"/>
      <c r="B390" s="7">
        <v>98</v>
      </c>
      <c r="C390" s="1">
        <f t="shared" si="7"/>
        <v>389</v>
      </c>
      <c r="D390" s="1" t="s">
        <v>33</v>
      </c>
      <c r="E390" s="1">
        <v>5</v>
      </c>
      <c r="F390" s="8" t="s">
        <v>192</v>
      </c>
      <c r="G390" s="21" t="s">
        <v>212</v>
      </c>
      <c r="H390" s="8" t="s">
        <v>213</v>
      </c>
      <c r="I390" s="8" t="s">
        <v>214</v>
      </c>
      <c r="J390" s="1"/>
      <c r="K390" s="1"/>
    </row>
    <row r="391" spans="1:11">
      <c r="A391" s="7"/>
      <c r="B391" s="7"/>
      <c r="C391" s="1">
        <f t="shared" si="7"/>
        <v>390</v>
      </c>
      <c r="D391" s="1" t="s">
        <v>25</v>
      </c>
      <c r="E391" s="1">
        <v>5</v>
      </c>
      <c r="F391" s="7"/>
      <c r="G391" s="21"/>
      <c r="H391" s="7"/>
      <c r="I391" s="7"/>
      <c r="J391" s="1"/>
      <c r="K391" s="1"/>
    </row>
    <row r="392" spans="1:11">
      <c r="A392" s="7"/>
      <c r="B392" s="7"/>
      <c r="C392" s="1">
        <f t="shared" si="7"/>
        <v>391</v>
      </c>
      <c r="D392" s="1" t="s">
        <v>25</v>
      </c>
      <c r="E392" s="1">
        <v>5</v>
      </c>
      <c r="F392" s="7"/>
      <c r="G392" s="21"/>
      <c r="H392" s="7"/>
      <c r="I392" s="7"/>
      <c r="J392" s="1"/>
      <c r="K392" s="1"/>
    </row>
    <row r="393" spans="1:11">
      <c r="A393" s="7"/>
      <c r="B393" s="7"/>
      <c r="C393" s="1">
        <f t="shared" si="7"/>
        <v>392</v>
      </c>
      <c r="D393" s="1" t="s">
        <v>25</v>
      </c>
      <c r="E393" s="1">
        <v>5</v>
      </c>
      <c r="F393" s="7"/>
      <c r="G393" s="21"/>
      <c r="H393" s="7"/>
      <c r="I393" s="7"/>
      <c r="J393" s="1"/>
      <c r="K393" s="1"/>
    </row>
    <row r="394" spans="1:11" ht="15.95" customHeight="1">
      <c r="A394" s="7"/>
      <c r="B394" s="7">
        <v>99</v>
      </c>
      <c r="C394" s="1">
        <f t="shared" si="7"/>
        <v>393</v>
      </c>
      <c r="D394" s="1" t="s">
        <v>25</v>
      </c>
      <c r="E394" s="1">
        <v>5</v>
      </c>
      <c r="F394" s="8" t="s">
        <v>67</v>
      </c>
      <c r="G394" s="21" t="s">
        <v>215</v>
      </c>
      <c r="H394" s="8" t="s">
        <v>216</v>
      </c>
      <c r="I394" s="1"/>
      <c r="J394" s="1"/>
      <c r="K394" s="1"/>
    </row>
    <row r="395" spans="1:11">
      <c r="A395" s="7"/>
      <c r="B395" s="7"/>
      <c r="C395" s="1">
        <f t="shared" si="7"/>
        <v>394</v>
      </c>
      <c r="D395" s="1" t="s">
        <v>33</v>
      </c>
      <c r="E395" s="1">
        <v>4</v>
      </c>
      <c r="F395" s="7"/>
      <c r="G395" s="21"/>
      <c r="H395" s="7"/>
      <c r="I395" s="1"/>
      <c r="J395" s="1"/>
      <c r="K395" s="1"/>
    </row>
    <row r="396" spans="1:11">
      <c r="A396" s="7"/>
      <c r="B396" s="7"/>
      <c r="C396" s="1">
        <f t="shared" si="7"/>
        <v>395</v>
      </c>
      <c r="D396" s="1" t="s">
        <v>145</v>
      </c>
      <c r="E396" s="1">
        <v>5</v>
      </c>
      <c r="F396" s="7"/>
      <c r="G396" s="21"/>
      <c r="H396" s="7"/>
      <c r="I396" s="1"/>
      <c r="J396" s="1"/>
      <c r="K396" s="1"/>
    </row>
    <row r="397" spans="1:11">
      <c r="A397" s="7"/>
      <c r="B397" s="7"/>
      <c r="C397" s="1">
        <f t="shared" si="7"/>
        <v>396</v>
      </c>
      <c r="D397" s="1" t="s">
        <v>145</v>
      </c>
      <c r="E397" s="1">
        <v>5</v>
      </c>
      <c r="F397" s="7"/>
      <c r="G397" s="21"/>
      <c r="H397" s="7"/>
      <c r="I397" s="1"/>
      <c r="J397" s="1"/>
      <c r="K397" s="1"/>
    </row>
    <row r="398" spans="1:11" ht="15.95" customHeight="1">
      <c r="A398" s="7"/>
      <c r="B398" s="7">
        <v>100</v>
      </c>
      <c r="C398" s="1">
        <f t="shared" si="7"/>
        <v>397</v>
      </c>
      <c r="D398" s="1" t="s">
        <v>41</v>
      </c>
      <c r="E398" s="1">
        <v>4</v>
      </c>
      <c r="F398" s="8" t="s">
        <v>217</v>
      </c>
      <c r="G398" s="21" t="s">
        <v>218</v>
      </c>
      <c r="H398" s="8" t="s">
        <v>219</v>
      </c>
      <c r="I398" s="1"/>
      <c r="J398" s="1"/>
      <c r="K398" s="1"/>
    </row>
    <row r="399" spans="1:11">
      <c r="A399" s="7"/>
      <c r="B399" s="7"/>
      <c r="C399" s="1">
        <f t="shared" si="7"/>
        <v>398</v>
      </c>
      <c r="D399" s="1" t="s">
        <v>33</v>
      </c>
      <c r="E399" s="1">
        <v>5</v>
      </c>
      <c r="F399" s="7"/>
      <c r="G399" s="21"/>
      <c r="H399" s="7"/>
      <c r="I399" s="1"/>
      <c r="J399" s="1"/>
      <c r="K399" s="1"/>
    </row>
    <row r="400" spans="1:11">
      <c r="A400" s="7"/>
      <c r="B400" s="7"/>
      <c r="C400" s="1">
        <f t="shared" si="7"/>
        <v>399</v>
      </c>
      <c r="D400" s="1" t="s">
        <v>25</v>
      </c>
      <c r="E400" s="1">
        <v>5</v>
      </c>
      <c r="F400" s="7"/>
      <c r="G400" s="21"/>
      <c r="H400" s="7"/>
      <c r="I400" s="1"/>
      <c r="J400" s="1"/>
      <c r="K400" s="1"/>
    </row>
    <row r="401" spans="1:11">
      <c r="A401" s="7"/>
      <c r="B401" s="7"/>
      <c r="C401" s="1">
        <f t="shared" si="7"/>
        <v>400</v>
      </c>
      <c r="D401" s="1" t="s">
        <v>25</v>
      </c>
      <c r="E401" s="1">
        <v>5</v>
      </c>
      <c r="F401" s="7"/>
      <c r="G401" s="21"/>
      <c r="H401" s="7"/>
      <c r="I401" s="1"/>
      <c r="J401" s="1"/>
      <c r="K401" s="1"/>
    </row>
    <row r="402" spans="1:11" ht="15.95" customHeight="1">
      <c r="A402" s="7">
        <v>17</v>
      </c>
      <c r="B402" s="7">
        <v>101</v>
      </c>
      <c r="C402" s="1">
        <f>C401+1</f>
        <v>401</v>
      </c>
      <c r="D402" s="1" t="s">
        <v>25</v>
      </c>
      <c r="E402" s="1">
        <v>5</v>
      </c>
      <c r="F402" s="8" t="s">
        <v>151</v>
      </c>
      <c r="G402" s="21" t="s">
        <v>220</v>
      </c>
      <c r="H402" s="7" t="s">
        <v>174</v>
      </c>
      <c r="I402" s="1"/>
      <c r="J402" s="1"/>
      <c r="K402" s="1"/>
    </row>
    <row r="403" spans="1:11">
      <c r="A403" s="7"/>
      <c r="B403" s="7"/>
      <c r="C403" s="24">
        <f t="shared" ref="C403:C449" si="8">C402+1</f>
        <v>402</v>
      </c>
      <c r="D403" s="1" t="s">
        <v>33</v>
      </c>
      <c r="E403" s="1">
        <v>0</v>
      </c>
      <c r="F403" s="7"/>
      <c r="G403" s="21"/>
      <c r="H403" s="7"/>
      <c r="I403" s="1"/>
      <c r="J403" s="1"/>
      <c r="K403" s="1"/>
    </row>
    <row r="404" spans="1:11">
      <c r="A404" s="7"/>
      <c r="B404" s="7"/>
      <c r="C404" s="24">
        <f t="shared" si="8"/>
        <v>403</v>
      </c>
      <c r="D404" s="1" t="s">
        <v>41</v>
      </c>
      <c r="E404" s="1">
        <v>0</v>
      </c>
      <c r="F404" s="7"/>
      <c r="G404" s="21"/>
      <c r="H404" s="7"/>
      <c r="I404" s="1"/>
      <c r="J404" s="1"/>
      <c r="K404" s="1"/>
    </row>
    <row r="405" spans="1:11">
      <c r="A405" s="7"/>
      <c r="B405" s="7"/>
      <c r="C405" s="24">
        <f t="shared" si="8"/>
        <v>404</v>
      </c>
      <c r="D405" s="1" t="s">
        <v>145</v>
      </c>
      <c r="E405" s="1">
        <v>0</v>
      </c>
      <c r="F405" s="7"/>
      <c r="G405" s="21"/>
      <c r="H405" s="7"/>
      <c r="I405" s="1"/>
      <c r="J405" s="1"/>
      <c r="K405" s="1"/>
    </row>
    <row r="406" spans="1:11" ht="15.95" customHeight="1">
      <c r="A406" s="7"/>
      <c r="B406" s="7">
        <v>102</v>
      </c>
      <c r="C406" s="24">
        <f t="shared" si="8"/>
        <v>405</v>
      </c>
      <c r="D406" s="1" t="s">
        <v>41</v>
      </c>
      <c r="E406" s="1">
        <v>0</v>
      </c>
      <c r="F406" s="8" t="s">
        <v>64</v>
      </c>
      <c r="G406" s="21" t="s">
        <v>221</v>
      </c>
      <c r="H406" s="7"/>
      <c r="I406" s="1"/>
      <c r="J406" s="1"/>
      <c r="K406" s="1"/>
    </row>
    <row r="407" spans="1:11">
      <c r="A407" s="7"/>
      <c r="B407" s="7"/>
      <c r="C407" s="24">
        <f t="shared" si="8"/>
        <v>406</v>
      </c>
      <c r="D407" s="1" t="s">
        <v>33</v>
      </c>
      <c r="E407" s="1">
        <v>0</v>
      </c>
      <c r="F407" s="7"/>
      <c r="G407" s="21"/>
      <c r="H407" s="7"/>
      <c r="I407" s="1"/>
      <c r="J407" s="1"/>
      <c r="K407" s="1"/>
    </row>
    <row r="408" spans="1:11">
      <c r="A408" s="7"/>
      <c r="B408" s="7"/>
      <c r="C408" s="1">
        <f t="shared" si="8"/>
        <v>407</v>
      </c>
      <c r="D408" s="1" t="s">
        <v>25</v>
      </c>
      <c r="E408" s="1">
        <v>5</v>
      </c>
      <c r="F408" s="7"/>
      <c r="G408" s="21"/>
      <c r="H408" s="7"/>
      <c r="I408" s="1"/>
      <c r="J408" s="1"/>
      <c r="K408" s="1"/>
    </row>
    <row r="409" spans="1:11">
      <c r="A409" s="7"/>
      <c r="B409" s="7"/>
      <c r="C409" s="1">
        <f t="shared" si="8"/>
        <v>408</v>
      </c>
      <c r="D409" s="1" t="s">
        <v>25</v>
      </c>
      <c r="E409" s="1">
        <v>5</v>
      </c>
      <c r="F409" s="7"/>
      <c r="G409" s="21"/>
      <c r="H409" s="7"/>
      <c r="I409" s="1"/>
      <c r="J409" s="1"/>
      <c r="K409" s="1"/>
    </row>
    <row r="410" spans="1:11" ht="15.95" customHeight="1">
      <c r="A410" s="7"/>
      <c r="B410" s="7">
        <v>103</v>
      </c>
      <c r="C410" s="1">
        <f t="shared" si="8"/>
        <v>409</v>
      </c>
      <c r="D410" s="1" t="s">
        <v>25</v>
      </c>
      <c r="E410" s="1">
        <v>5</v>
      </c>
      <c r="F410" s="8" t="s">
        <v>172</v>
      </c>
      <c r="G410" s="21" t="s">
        <v>221</v>
      </c>
      <c r="H410" s="8" t="s">
        <v>222</v>
      </c>
      <c r="I410" s="1"/>
      <c r="J410" s="1"/>
      <c r="K410" s="1"/>
    </row>
    <row r="411" spans="1:11">
      <c r="A411" s="7"/>
      <c r="B411" s="7"/>
      <c r="C411" s="1">
        <f t="shared" si="8"/>
        <v>410</v>
      </c>
      <c r="D411" s="1" t="s">
        <v>25</v>
      </c>
      <c r="E411" s="1">
        <v>5</v>
      </c>
      <c r="F411" s="7"/>
      <c r="G411" s="21"/>
      <c r="H411" s="7"/>
      <c r="I411" s="1"/>
      <c r="J411" s="1"/>
      <c r="K411" s="1"/>
    </row>
    <row r="412" spans="1:11">
      <c r="A412" s="7"/>
      <c r="B412" s="7"/>
      <c r="C412" s="28">
        <f t="shared" si="8"/>
        <v>411</v>
      </c>
      <c r="D412" s="1" t="s">
        <v>25</v>
      </c>
      <c r="E412" s="1">
        <v>0</v>
      </c>
      <c r="F412" s="7"/>
      <c r="G412" s="21"/>
      <c r="H412" s="7"/>
      <c r="I412" s="1"/>
      <c r="J412" s="1"/>
      <c r="K412" s="1"/>
    </row>
    <row r="413" spans="1:11">
      <c r="A413" s="7"/>
      <c r="B413" s="7"/>
      <c r="C413" s="1">
        <f t="shared" si="8"/>
        <v>412</v>
      </c>
      <c r="D413" s="1" t="s">
        <v>33</v>
      </c>
      <c r="E413" s="1">
        <v>5</v>
      </c>
      <c r="F413" s="7"/>
      <c r="G413" s="21"/>
      <c r="H413" s="7"/>
      <c r="I413" s="1"/>
      <c r="J413" s="1"/>
      <c r="K413" s="1"/>
    </row>
    <row r="414" spans="1:11" ht="15.95" customHeight="1">
      <c r="A414" s="7"/>
      <c r="B414" s="7">
        <v>104</v>
      </c>
      <c r="C414" s="28">
        <f t="shared" si="8"/>
        <v>413</v>
      </c>
      <c r="D414" s="1" t="s">
        <v>33</v>
      </c>
      <c r="E414" s="1">
        <v>0</v>
      </c>
      <c r="F414" s="8" t="s">
        <v>23</v>
      </c>
      <c r="G414" s="21" t="s">
        <v>221</v>
      </c>
      <c r="H414" s="7" t="s">
        <v>45</v>
      </c>
      <c r="I414" s="7" t="s">
        <v>223</v>
      </c>
      <c r="J414" s="1"/>
      <c r="K414" s="1"/>
    </row>
    <row r="415" spans="1:11">
      <c r="A415" s="7"/>
      <c r="B415" s="7"/>
      <c r="C415" s="1">
        <f t="shared" si="8"/>
        <v>414</v>
      </c>
      <c r="D415" s="1" t="s">
        <v>25</v>
      </c>
      <c r="E415" s="6" t="s">
        <v>104</v>
      </c>
      <c r="F415" s="7"/>
      <c r="G415" s="21"/>
      <c r="H415" s="7"/>
      <c r="I415" s="7"/>
      <c r="J415" s="1"/>
      <c r="K415" s="1"/>
    </row>
    <row r="416" spans="1:11">
      <c r="A416" s="7"/>
      <c r="B416" s="7"/>
      <c r="C416" s="1">
        <f t="shared" si="8"/>
        <v>415</v>
      </c>
      <c r="D416" s="1" t="s">
        <v>25</v>
      </c>
      <c r="E416" s="1">
        <v>5</v>
      </c>
      <c r="F416" s="7"/>
      <c r="G416" s="21"/>
      <c r="H416" s="7"/>
      <c r="I416" s="7"/>
      <c r="J416" s="1"/>
      <c r="K416" s="1"/>
    </row>
    <row r="417" spans="1:11">
      <c r="A417" s="7"/>
      <c r="B417" s="7"/>
      <c r="C417" s="1">
        <f t="shared" si="8"/>
        <v>416</v>
      </c>
      <c r="D417" s="1" t="s">
        <v>25</v>
      </c>
      <c r="E417" s="1">
        <v>5</v>
      </c>
      <c r="F417" s="7"/>
      <c r="G417" s="21"/>
      <c r="H417" s="7"/>
      <c r="I417" s="7"/>
      <c r="J417" s="1"/>
      <c r="K417" s="1"/>
    </row>
    <row r="418" spans="1:11" ht="15.95" customHeight="1">
      <c r="A418" s="7"/>
      <c r="B418" s="7">
        <v>105</v>
      </c>
      <c r="C418" s="1">
        <f t="shared" si="8"/>
        <v>417</v>
      </c>
      <c r="D418" s="1" t="s">
        <v>25</v>
      </c>
      <c r="E418" s="1">
        <v>5</v>
      </c>
      <c r="F418" s="8" t="s">
        <v>231</v>
      </c>
      <c r="G418" s="21" t="s">
        <v>232</v>
      </c>
      <c r="H418" s="7" t="s">
        <v>45</v>
      </c>
      <c r="I418" s="7" t="s">
        <v>223</v>
      </c>
      <c r="J418" s="1"/>
      <c r="K418" s="1"/>
    </row>
    <row r="419" spans="1:11">
      <c r="A419" s="7"/>
      <c r="B419" s="7"/>
      <c r="C419" s="1">
        <f t="shared" si="8"/>
        <v>418</v>
      </c>
      <c r="D419" s="1" t="s">
        <v>33</v>
      </c>
      <c r="E419" s="1">
        <v>5</v>
      </c>
      <c r="F419" s="7"/>
      <c r="G419" s="21"/>
      <c r="H419" s="7"/>
      <c r="I419" s="7"/>
      <c r="J419" s="1"/>
      <c r="K419" s="1"/>
    </row>
    <row r="420" spans="1:11">
      <c r="A420" s="7"/>
      <c r="B420" s="7"/>
      <c r="C420" s="1">
        <f t="shared" si="8"/>
        <v>419</v>
      </c>
      <c r="D420" s="1" t="s">
        <v>33</v>
      </c>
      <c r="E420" s="6" t="s">
        <v>103</v>
      </c>
      <c r="F420" s="7"/>
      <c r="G420" s="21"/>
      <c r="H420" s="7"/>
      <c r="I420" s="7"/>
      <c r="J420" s="1"/>
      <c r="K420" s="1"/>
    </row>
    <row r="421" spans="1:11">
      <c r="A421" s="7"/>
      <c r="B421" s="7"/>
      <c r="C421" s="1">
        <f t="shared" si="8"/>
        <v>420</v>
      </c>
      <c r="D421" s="1" t="s">
        <v>41</v>
      </c>
      <c r="E421" s="1">
        <v>5</v>
      </c>
      <c r="F421" s="7"/>
      <c r="G421" s="21"/>
      <c r="H421" s="7"/>
      <c r="I421" s="7"/>
      <c r="J421" s="1"/>
      <c r="K421" s="1"/>
    </row>
    <row r="422" spans="1:11" ht="15.95" customHeight="1">
      <c r="A422" s="7"/>
      <c r="B422" s="7">
        <v>106</v>
      </c>
      <c r="C422" s="1">
        <f t="shared" si="8"/>
        <v>421</v>
      </c>
      <c r="D422" s="1" t="s">
        <v>41</v>
      </c>
      <c r="E422" s="1">
        <v>5</v>
      </c>
      <c r="F422" s="8" t="s">
        <v>172</v>
      </c>
      <c r="G422" s="21" t="s">
        <v>233</v>
      </c>
      <c r="H422" s="7" t="s">
        <v>45</v>
      </c>
      <c r="I422" s="1"/>
      <c r="J422" s="1"/>
      <c r="K422" s="1"/>
    </row>
    <row r="423" spans="1:11">
      <c r="A423" s="7"/>
      <c r="B423" s="7"/>
      <c r="C423" s="1">
        <f t="shared" si="8"/>
        <v>422</v>
      </c>
      <c r="D423" s="1" t="s">
        <v>33</v>
      </c>
      <c r="E423" s="6" t="s">
        <v>144</v>
      </c>
      <c r="F423" s="7"/>
      <c r="G423" s="21"/>
      <c r="H423" s="7"/>
      <c r="I423" s="1"/>
      <c r="J423" s="1"/>
      <c r="K423" s="1"/>
    </row>
    <row r="424" spans="1:11">
      <c r="A424" s="7"/>
      <c r="B424" s="7"/>
      <c r="C424" s="1">
        <f t="shared" si="8"/>
        <v>423</v>
      </c>
      <c r="D424" s="1" t="s">
        <v>25</v>
      </c>
      <c r="E424" s="1">
        <v>5</v>
      </c>
      <c r="F424" s="7"/>
      <c r="G424" s="21"/>
      <c r="H424" s="7"/>
      <c r="I424" s="1"/>
      <c r="J424" s="1"/>
      <c r="K424" s="1"/>
    </row>
    <row r="425" spans="1:11">
      <c r="A425" s="7"/>
      <c r="B425" s="7"/>
      <c r="C425" s="1">
        <f t="shared" si="8"/>
        <v>424</v>
      </c>
      <c r="D425" s="1" t="s">
        <v>25</v>
      </c>
      <c r="E425" s="1">
        <v>5</v>
      </c>
      <c r="F425" s="7"/>
      <c r="G425" s="21"/>
      <c r="H425" s="7"/>
      <c r="I425" s="1"/>
      <c r="J425" s="1"/>
      <c r="K425" s="1"/>
    </row>
    <row r="426" spans="1:11">
      <c r="A426" s="7">
        <v>18</v>
      </c>
      <c r="B426" s="7">
        <v>107</v>
      </c>
      <c r="C426" s="1">
        <f>C425+1</f>
        <v>425</v>
      </c>
      <c r="D426" s="23" t="s">
        <v>25</v>
      </c>
      <c r="E426" s="23">
        <v>5</v>
      </c>
      <c r="F426" s="8" t="s">
        <v>151</v>
      </c>
      <c r="G426" s="9" t="s">
        <v>226</v>
      </c>
      <c r="H426" s="7" t="s">
        <v>167</v>
      </c>
      <c r="I426" s="1"/>
      <c r="J426" s="1"/>
      <c r="K426" s="1"/>
    </row>
    <row r="427" spans="1:11">
      <c r="A427" s="7"/>
      <c r="B427" s="7"/>
      <c r="C427" s="1">
        <f t="shared" si="8"/>
        <v>426</v>
      </c>
      <c r="D427" s="23" t="s">
        <v>25</v>
      </c>
      <c r="E427" s="23">
        <v>5</v>
      </c>
      <c r="F427" s="7"/>
      <c r="G427" s="9"/>
      <c r="H427" s="7"/>
      <c r="I427" s="1"/>
      <c r="J427" s="1"/>
      <c r="K427" s="1"/>
    </row>
    <row r="428" spans="1:11">
      <c r="A428" s="7"/>
      <c r="B428" s="7"/>
      <c r="C428" s="1">
        <f t="shared" si="8"/>
        <v>427</v>
      </c>
      <c r="D428" s="23" t="s">
        <v>25</v>
      </c>
      <c r="E428" s="6" t="s">
        <v>204</v>
      </c>
      <c r="F428" s="7"/>
      <c r="G428" s="9"/>
      <c r="H428" s="7"/>
      <c r="I428" s="1"/>
      <c r="J428" s="1"/>
      <c r="K428" s="1"/>
    </row>
    <row r="429" spans="1:11">
      <c r="A429" s="7"/>
      <c r="B429" s="7"/>
      <c r="C429" s="1">
        <f t="shared" si="8"/>
        <v>428</v>
      </c>
      <c r="D429" s="23" t="s">
        <v>33</v>
      </c>
      <c r="E429" s="6" t="s">
        <v>103</v>
      </c>
      <c r="F429" s="7"/>
      <c r="G429" s="9"/>
      <c r="H429" s="7"/>
      <c r="I429" s="1"/>
      <c r="J429" s="1"/>
      <c r="K429" s="1"/>
    </row>
    <row r="430" spans="1:11">
      <c r="A430" s="7"/>
      <c r="B430" s="7">
        <v>108</v>
      </c>
      <c r="C430" s="1">
        <f t="shared" si="8"/>
        <v>429</v>
      </c>
      <c r="D430" s="23" t="s">
        <v>33</v>
      </c>
      <c r="E430" s="6" t="s">
        <v>103</v>
      </c>
      <c r="F430" s="8"/>
      <c r="G430" s="9" t="s">
        <v>226</v>
      </c>
      <c r="H430" s="8" t="s">
        <v>225</v>
      </c>
      <c r="I430" s="1"/>
      <c r="J430" s="1"/>
      <c r="K430" s="1"/>
    </row>
    <row r="431" spans="1:11">
      <c r="A431" s="7"/>
      <c r="B431" s="7"/>
      <c r="C431" s="1">
        <f t="shared" si="8"/>
        <v>430</v>
      </c>
      <c r="D431" s="23" t="s">
        <v>25</v>
      </c>
      <c r="E431" s="6" t="s">
        <v>204</v>
      </c>
      <c r="F431" s="7"/>
      <c r="G431" s="9"/>
      <c r="H431" s="7"/>
      <c r="I431" s="1"/>
      <c r="J431" s="1"/>
      <c r="K431" s="1"/>
    </row>
    <row r="432" spans="1:11">
      <c r="A432" s="7"/>
      <c r="B432" s="7"/>
      <c r="C432" s="1">
        <f t="shared" si="8"/>
        <v>431</v>
      </c>
      <c r="D432" s="23" t="s">
        <v>25</v>
      </c>
      <c r="E432" s="23">
        <v>5</v>
      </c>
      <c r="F432" s="7"/>
      <c r="G432" s="9"/>
      <c r="H432" s="7"/>
      <c r="I432" s="1"/>
      <c r="J432" s="1"/>
      <c r="K432" s="1"/>
    </row>
    <row r="433" spans="1:11">
      <c r="A433" s="7"/>
      <c r="B433" s="7"/>
      <c r="C433" s="1">
        <f t="shared" si="8"/>
        <v>432</v>
      </c>
      <c r="D433" s="23" t="s">
        <v>25</v>
      </c>
      <c r="E433" s="23">
        <v>5</v>
      </c>
      <c r="F433" s="7"/>
      <c r="G433" s="9"/>
      <c r="H433" s="7"/>
      <c r="I433" s="1"/>
      <c r="J433" s="1"/>
      <c r="K433" s="1"/>
    </row>
    <row r="434" spans="1:11">
      <c r="A434" s="7"/>
      <c r="B434" s="7">
        <v>109</v>
      </c>
      <c r="C434" s="1">
        <f t="shared" si="8"/>
        <v>433</v>
      </c>
      <c r="D434" s="23" t="s">
        <v>25</v>
      </c>
      <c r="E434" s="23">
        <v>5</v>
      </c>
      <c r="F434" s="8" t="s">
        <v>234</v>
      </c>
      <c r="G434" s="9" t="s">
        <v>226</v>
      </c>
      <c r="H434" s="8" t="s">
        <v>225</v>
      </c>
      <c r="I434" s="1"/>
      <c r="J434" s="1"/>
      <c r="K434" s="1"/>
    </row>
    <row r="435" spans="1:11">
      <c r="A435" s="7"/>
      <c r="B435" s="7"/>
      <c r="C435" s="1">
        <f t="shared" si="8"/>
        <v>434</v>
      </c>
      <c r="D435" s="23" t="s">
        <v>33</v>
      </c>
      <c r="E435" s="23">
        <v>5</v>
      </c>
      <c r="F435" s="7"/>
      <c r="G435" s="9"/>
      <c r="H435" s="7"/>
      <c r="I435" s="1"/>
      <c r="J435" s="1"/>
      <c r="K435" s="1"/>
    </row>
    <row r="436" spans="1:11">
      <c r="A436" s="7"/>
      <c r="B436" s="7"/>
      <c r="C436" s="1">
        <f t="shared" si="8"/>
        <v>435</v>
      </c>
      <c r="D436" s="23" t="s">
        <v>33</v>
      </c>
      <c r="E436" s="6" t="s">
        <v>144</v>
      </c>
      <c r="F436" s="7"/>
      <c r="G436" s="9"/>
      <c r="H436" s="7"/>
      <c r="I436" s="1"/>
      <c r="J436" s="1"/>
      <c r="K436" s="1"/>
    </row>
    <row r="437" spans="1:11">
      <c r="A437" s="7"/>
      <c r="B437" s="7"/>
      <c r="C437" s="1">
        <f t="shared" si="8"/>
        <v>436</v>
      </c>
      <c r="D437" s="23" t="s">
        <v>41</v>
      </c>
      <c r="E437" s="6" t="s">
        <v>144</v>
      </c>
      <c r="F437" s="7"/>
      <c r="G437" s="9"/>
      <c r="H437" s="7"/>
      <c r="I437" s="1"/>
      <c r="J437" s="1"/>
      <c r="K437" s="1"/>
    </row>
    <row r="438" spans="1:11">
      <c r="A438" s="7"/>
      <c r="B438" s="7">
        <v>110</v>
      </c>
      <c r="C438" s="1">
        <f t="shared" si="8"/>
        <v>437</v>
      </c>
      <c r="D438" s="23" t="s">
        <v>41</v>
      </c>
      <c r="E438" s="23">
        <v>5</v>
      </c>
      <c r="F438" s="8" t="s">
        <v>224</v>
      </c>
      <c r="G438" s="9" t="s">
        <v>229</v>
      </c>
      <c r="H438" s="8" t="s">
        <v>228</v>
      </c>
      <c r="I438" s="1"/>
      <c r="J438" s="1"/>
      <c r="K438" s="1"/>
    </row>
    <row r="439" spans="1:11">
      <c r="A439" s="7"/>
      <c r="B439" s="7"/>
      <c r="C439" s="1">
        <f t="shared" si="8"/>
        <v>438</v>
      </c>
      <c r="D439" s="23" t="s">
        <v>41</v>
      </c>
      <c r="E439" s="6" t="s">
        <v>103</v>
      </c>
      <c r="F439" s="7"/>
      <c r="G439" s="9"/>
      <c r="H439" s="7"/>
      <c r="I439" s="1"/>
      <c r="J439" s="1"/>
      <c r="K439" s="1"/>
    </row>
    <row r="440" spans="1:11">
      <c r="A440" s="7"/>
      <c r="B440" s="7"/>
      <c r="C440" s="1">
        <f t="shared" si="8"/>
        <v>439</v>
      </c>
      <c r="D440" s="23" t="s">
        <v>33</v>
      </c>
      <c r="E440" s="6" t="s">
        <v>144</v>
      </c>
      <c r="F440" s="7"/>
      <c r="G440" s="9"/>
      <c r="H440" s="7"/>
      <c r="I440" s="1"/>
      <c r="J440" s="1"/>
      <c r="K440" s="1"/>
    </row>
    <row r="441" spans="1:11">
      <c r="A441" s="7"/>
      <c r="B441" s="7"/>
      <c r="C441" s="1">
        <f t="shared" si="8"/>
        <v>440</v>
      </c>
      <c r="D441" s="23" t="s">
        <v>25</v>
      </c>
      <c r="E441" s="23">
        <v>5</v>
      </c>
      <c r="F441" s="7"/>
      <c r="G441" s="9"/>
      <c r="H441" s="7"/>
      <c r="I441" s="1"/>
      <c r="J441" s="1"/>
      <c r="K441" s="1"/>
    </row>
    <row r="442" spans="1:11">
      <c r="A442" s="7"/>
      <c r="B442" s="7">
        <v>111</v>
      </c>
      <c r="C442" s="1">
        <f t="shared" si="8"/>
        <v>441</v>
      </c>
      <c r="D442" s="23" t="s">
        <v>25</v>
      </c>
      <c r="E442" s="23">
        <v>5</v>
      </c>
      <c r="F442" s="8" t="s">
        <v>111</v>
      </c>
      <c r="G442" s="9" t="s">
        <v>227</v>
      </c>
      <c r="H442" s="8" t="s">
        <v>225</v>
      </c>
      <c r="I442" s="1"/>
      <c r="J442" s="1"/>
      <c r="K442" s="1"/>
    </row>
    <row r="443" spans="1:11">
      <c r="A443" s="7"/>
      <c r="B443" s="7"/>
      <c r="C443" s="1">
        <f t="shared" si="8"/>
        <v>442</v>
      </c>
      <c r="D443" s="23" t="s">
        <v>25</v>
      </c>
      <c r="E443" s="23">
        <v>5</v>
      </c>
      <c r="F443" s="7"/>
      <c r="G443" s="9"/>
      <c r="H443" s="7"/>
      <c r="I443" s="1"/>
      <c r="J443" s="1"/>
      <c r="K443" s="1"/>
    </row>
    <row r="444" spans="1:11">
      <c r="A444" s="7"/>
      <c r="B444" s="7"/>
      <c r="C444" s="1">
        <f t="shared" si="8"/>
        <v>443</v>
      </c>
      <c r="D444" s="23" t="s">
        <v>25</v>
      </c>
      <c r="E444" s="23">
        <v>5</v>
      </c>
      <c r="F444" s="7"/>
      <c r="G444" s="9"/>
      <c r="H444" s="7"/>
      <c r="I444" s="1"/>
      <c r="J444" s="1"/>
      <c r="K444" s="1"/>
    </row>
    <row r="445" spans="1:11">
      <c r="A445" s="7"/>
      <c r="B445" s="7"/>
      <c r="C445" s="1">
        <f t="shared" si="8"/>
        <v>444</v>
      </c>
      <c r="D445" s="23" t="s">
        <v>33</v>
      </c>
      <c r="E445" s="6" t="s">
        <v>103</v>
      </c>
      <c r="F445" s="7"/>
      <c r="G445" s="9"/>
      <c r="H445" s="7"/>
      <c r="I445" s="1"/>
      <c r="J445" s="1"/>
      <c r="K445" s="1"/>
    </row>
    <row r="446" spans="1:11">
      <c r="A446" s="7"/>
      <c r="B446" s="7">
        <v>112</v>
      </c>
      <c r="C446" s="1">
        <f t="shared" si="8"/>
        <v>445</v>
      </c>
      <c r="D446" s="23" t="s">
        <v>41</v>
      </c>
      <c r="E446" s="23">
        <v>5</v>
      </c>
      <c r="F446" s="8" t="s">
        <v>217</v>
      </c>
      <c r="G446" s="9" t="s">
        <v>230</v>
      </c>
      <c r="H446" s="7" t="s">
        <v>167</v>
      </c>
      <c r="I446" s="1"/>
      <c r="J446" s="1"/>
      <c r="K446" s="1"/>
    </row>
    <row r="447" spans="1:11">
      <c r="A447" s="7"/>
      <c r="B447" s="7"/>
      <c r="C447" s="1">
        <f t="shared" si="8"/>
        <v>446</v>
      </c>
      <c r="D447" s="23" t="s">
        <v>41</v>
      </c>
      <c r="E447" s="23">
        <v>5</v>
      </c>
      <c r="F447" s="7"/>
      <c r="G447" s="9"/>
      <c r="H447" s="7"/>
      <c r="I447" s="1"/>
      <c r="J447" s="1"/>
      <c r="K447" s="1"/>
    </row>
    <row r="448" spans="1:11">
      <c r="A448" s="7"/>
      <c r="B448" s="7"/>
      <c r="C448" s="1">
        <f t="shared" si="8"/>
        <v>447</v>
      </c>
      <c r="D448" s="23" t="s">
        <v>41</v>
      </c>
      <c r="E448" s="23">
        <v>5</v>
      </c>
      <c r="F448" s="7"/>
      <c r="G448" s="9"/>
      <c r="H448" s="7"/>
      <c r="I448" s="1"/>
      <c r="J448" s="1"/>
      <c r="K448" s="1"/>
    </row>
    <row r="449" spans="1:11">
      <c r="A449" s="7"/>
      <c r="B449" s="7"/>
      <c r="C449" s="1">
        <f t="shared" si="8"/>
        <v>448</v>
      </c>
      <c r="D449" s="23" t="s">
        <v>33</v>
      </c>
      <c r="E449" s="23">
        <v>5</v>
      </c>
      <c r="F449" s="7"/>
      <c r="G449" s="9"/>
      <c r="H449" s="7"/>
      <c r="I449" s="1"/>
      <c r="J449" s="1"/>
      <c r="K449" s="1"/>
    </row>
    <row r="450" spans="1:11">
      <c r="A450" s="7">
        <v>19</v>
      </c>
      <c r="B450" s="7">
        <v>113</v>
      </c>
      <c r="C450" s="1">
        <f>C449+1</f>
        <v>449</v>
      </c>
      <c r="D450" s="1" t="s">
        <v>25</v>
      </c>
      <c r="E450" s="23">
        <v>5</v>
      </c>
      <c r="F450" s="8" t="s">
        <v>236</v>
      </c>
      <c r="G450" s="7" t="s">
        <v>237</v>
      </c>
      <c r="H450" s="7" t="s">
        <v>238</v>
      </c>
      <c r="I450" s="1"/>
      <c r="J450" s="1">
        <v>4</v>
      </c>
      <c r="K450" s="1"/>
    </row>
    <row r="451" spans="1:11">
      <c r="A451" s="7"/>
      <c r="B451" s="7"/>
      <c r="C451" s="1">
        <f t="shared" ref="C451:C473" si="9">C450+1</f>
        <v>450</v>
      </c>
      <c r="D451" s="1" t="s">
        <v>25</v>
      </c>
      <c r="E451" s="23">
        <v>5</v>
      </c>
      <c r="F451" s="7"/>
      <c r="G451" s="7"/>
      <c r="H451" s="7"/>
      <c r="I451" s="1"/>
      <c r="J451" s="1">
        <v>12</v>
      </c>
      <c r="K451" s="1"/>
    </row>
    <row r="452" spans="1:11">
      <c r="A452" s="7"/>
      <c r="B452" s="7"/>
      <c r="C452" s="1">
        <f t="shared" si="9"/>
        <v>451</v>
      </c>
      <c r="D452" s="1" t="s">
        <v>25</v>
      </c>
      <c r="E452" s="23">
        <v>5</v>
      </c>
      <c r="F452" s="7"/>
      <c r="G452" s="7"/>
      <c r="H452" s="7"/>
      <c r="I452" s="1"/>
      <c r="J452" s="1">
        <v>4</v>
      </c>
      <c r="K452" s="1"/>
    </row>
    <row r="453" spans="1:11">
      <c r="A453" s="7"/>
      <c r="B453" s="7"/>
      <c r="C453" s="1">
        <f t="shared" si="9"/>
        <v>452</v>
      </c>
      <c r="D453" s="1" t="s">
        <v>33</v>
      </c>
      <c r="E453" s="23">
        <v>5</v>
      </c>
      <c r="F453" s="7"/>
      <c r="G453" s="7"/>
      <c r="H453" s="7"/>
      <c r="I453" s="1"/>
      <c r="J453" s="1">
        <f>SUM(J450:J452)</f>
        <v>20</v>
      </c>
      <c r="K453" s="1">
        <v>20</v>
      </c>
    </row>
    <row r="454" spans="1:11" ht="15.75" customHeight="1">
      <c r="A454" s="7"/>
      <c r="B454" s="7">
        <v>114</v>
      </c>
      <c r="C454" s="25">
        <f t="shared" si="9"/>
        <v>453</v>
      </c>
      <c r="D454" s="1" t="s">
        <v>33</v>
      </c>
      <c r="E454" s="23">
        <v>0</v>
      </c>
      <c r="F454" s="7" t="s">
        <v>24</v>
      </c>
      <c r="G454" s="8" t="s">
        <v>239</v>
      </c>
      <c r="H454" s="7"/>
      <c r="I454" s="1"/>
      <c r="J454" s="1">
        <v>1</v>
      </c>
      <c r="K454" s="1"/>
    </row>
    <row r="455" spans="1:11">
      <c r="A455" s="7"/>
      <c r="B455" s="7"/>
      <c r="C455" s="1">
        <f t="shared" si="9"/>
        <v>454</v>
      </c>
      <c r="D455" s="1" t="s">
        <v>33</v>
      </c>
      <c r="E455" s="6" t="s">
        <v>103</v>
      </c>
      <c r="F455" s="7"/>
      <c r="G455" s="8"/>
      <c r="H455" s="7"/>
      <c r="I455" s="1"/>
      <c r="J455" s="1">
        <v>4</v>
      </c>
      <c r="K455" s="1"/>
    </row>
    <row r="456" spans="1:11">
      <c r="A456" s="7"/>
      <c r="B456" s="7"/>
      <c r="C456" s="1">
        <f t="shared" si="9"/>
        <v>455</v>
      </c>
      <c r="D456" s="1" t="s">
        <v>33</v>
      </c>
      <c r="E456" s="6" t="s">
        <v>104</v>
      </c>
      <c r="F456" s="7"/>
      <c r="G456" s="8"/>
      <c r="H456" s="7"/>
      <c r="I456" s="1"/>
      <c r="J456" s="1">
        <v>0</v>
      </c>
      <c r="K456" s="1"/>
    </row>
    <row r="457" spans="1:11">
      <c r="A457" s="7"/>
      <c r="B457" s="7"/>
      <c r="C457" s="25">
        <f t="shared" si="9"/>
        <v>456</v>
      </c>
      <c r="D457" s="1" t="s">
        <v>33</v>
      </c>
      <c r="E457" s="23">
        <v>0</v>
      </c>
      <c r="F457" s="7"/>
      <c r="G457" s="8"/>
      <c r="H457" s="7"/>
      <c r="I457" s="1"/>
      <c r="J457" s="1">
        <f>SUM(J454:J456)</f>
        <v>5</v>
      </c>
      <c r="K457" s="1">
        <v>5</v>
      </c>
    </row>
    <row r="458" spans="1:11">
      <c r="A458" s="7"/>
      <c r="B458" s="7">
        <v>115</v>
      </c>
      <c r="C458" s="1">
        <f t="shared" si="9"/>
        <v>457</v>
      </c>
      <c r="D458" s="1" t="s">
        <v>25</v>
      </c>
      <c r="E458" s="23">
        <v>5</v>
      </c>
      <c r="F458" s="8" t="s">
        <v>236</v>
      </c>
      <c r="G458" s="7" t="s">
        <v>237</v>
      </c>
      <c r="H458" s="7" t="s">
        <v>45</v>
      </c>
      <c r="I458" s="1"/>
      <c r="J458" s="1">
        <v>4</v>
      </c>
      <c r="K458" s="1"/>
    </row>
    <row r="459" spans="1:11">
      <c r="A459" s="7"/>
      <c r="B459" s="7"/>
      <c r="C459" s="1">
        <f t="shared" si="9"/>
        <v>458</v>
      </c>
      <c r="D459" s="1" t="s">
        <v>25</v>
      </c>
      <c r="E459" s="23">
        <v>5</v>
      </c>
      <c r="F459" s="7"/>
      <c r="G459" s="7"/>
      <c r="H459" s="7"/>
      <c r="I459" s="1"/>
      <c r="J459" s="1">
        <v>12</v>
      </c>
      <c r="K459" s="1"/>
    </row>
    <row r="460" spans="1:11">
      <c r="A460" s="7"/>
      <c r="B460" s="7"/>
      <c r="C460" s="1">
        <f t="shared" si="9"/>
        <v>459</v>
      </c>
      <c r="D460" s="1" t="s">
        <v>25</v>
      </c>
      <c r="E460" s="23">
        <v>5</v>
      </c>
      <c r="F460" s="7"/>
      <c r="G460" s="7"/>
      <c r="H460" s="7"/>
      <c r="I460" s="1"/>
      <c r="J460" s="1">
        <v>4</v>
      </c>
      <c r="K460" s="1"/>
    </row>
    <row r="461" spans="1:11">
      <c r="A461" s="7"/>
      <c r="B461" s="7"/>
      <c r="C461" s="1">
        <f t="shared" si="9"/>
        <v>460</v>
      </c>
      <c r="D461" s="1" t="s">
        <v>25</v>
      </c>
      <c r="E461" s="23">
        <v>5</v>
      </c>
      <c r="F461" s="7"/>
      <c r="G461" s="7"/>
      <c r="H461" s="7"/>
      <c r="I461" s="1"/>
      <c r="J461" s="1">
        <f>SUM(J458:J460)</f>
        <v>20</v>
      </c>
      <c r="K461" s="1">
        <v>20</v>
      </c>
    </row>
    <row r="462" spans="1:11" ht="15.75" customHeight="1">
      <c r="A462" s="7"/>
      <c r="B462" s="7">
        <v>116</v>
      </c>
      <c r="C462" s="1">
        <f t="shared" si="9"/>
        <v>461</v>
      </c>
      <c r="D462" s="1" t="s">
        <v>33</v>
      </c>
      <c r="E462" s="23">
        <v>5</v>
      </c>
      <c r="F462" s="8" t="s">
        <v>224</v>
      </c>
      <c r="G462" s="8" t="s">
        <v>240</v>
      </c>
      <c r="H462" s="7" t="s">
        <v>167</v>
      </c>
      <c r="I462" s="1"/>
      <c r="J462" s="1">
        <v>2</v>
      </c>
      <c r="K462" s="1"/>
    </row>
    <row r="463" spans="1:11">
      <c r="A463" s="7"/>
      <c r="B463" s="7"/>
      <c r="C463" s="1">
        <f t="shared" si="9"/>
        <v>462</v>
      </c>
      <c r="D463" s="1" t="s">
        <v>41</v>
      </c>
      <c r="E463" s="6" t="s">
        <v>103</v>
      </c>
      <c r="F463" s="7"/>
      <c r="G463" s="8"/>
      <c r="H463" s="7"/>
      <c r="I463" s="1"/>
      <c r="J463" s="1">
        <v>11</v>
      </c>
      <c r="K463" s="1"/>
    </row>
    <row r="464" spans="1:11">
      <c r="A464" s="7"/>
      <c r="B464" s="7"/>
      <c r="C464" s="1">
        <f t="shared" si="9"/>
        <v>463</v>
      </c>
      <c r="D464" s="1" t="s">
        <v>41</v>
      </c>
      <c r="E464" s="23">
        <v>5</v>
      </c>
      <c r="F464" s="7"/>
      <c r="G464" s="8"/>
      <c r="H464" s="7"/>
      <c r="I464" s="1"/>
      <c r="J464" s="1">
        <v>4</v>
      </c>
      <c r="K464" s="1"/>
    </row>
    <row r="465" spans="1:11">
      <c r="A465" s="7"/>
      <c r="B465" s="7"/>
      <c r="C465" s="1">
        <f t="shared" si="9"/>
        <v>464</v>
      </c>
      <c r="D465" s="1" t="s">
        <v>41</v>
      </c>
      <c r="E465" s="6" t="s">
        <v>144</v>
      </c>
      <c r="F465" s="7"/>
      <c r="G465" s="8"/>
      <c r="H465" s="7"/>
      <c r="I465" s="1"/>
      <c r="J465" s="1">
        <f>SUM(J462:J464)</f>
        <v>17</v>
      </c>
      <c r="K465" s="1">
        <v>17</v>
      </c>
    </row>
    <row r="466" spans="1:11" ht="15.75" customHeight="1">
      <c r="A466" s="7"/>
      <c r="B466" s="7">
        <v>117</v>
      </c>
      <c r="C466" s="1">
        <f t="shared" si="9"/>
        <v>465</v>
      </c>
      <c r="D466" s="1" t="s">
        <v>33</v>
      </c>
      <c r="E466" s="6" t="s">
        <v>144</v>
      </c>
      <c r="F466" s="8" t="s">
        <v>235</v>
      </c>
      <c r="G466" s="8" t="s">
        <v>241</v>
      </c>
      <c r="H466" s="7" t="s">
        <v>167</v>
      </c>
      <c r="I466" s="1"/>
      <c r="J466" s="1">
        <v>6</v>
      </c>
      <c r="K466" s="1"/>
    </row>
    <row r="467" spans="1:11">
      <c r="A467" s="7"/>
      <c r="B467" s="7"/>
      <c r="C467" s="1">
        <f t="shared" si="9"/>
        <v>466</v>
      </c>
      <c r="D467" s="1" t="s">
        <v>25</v>
      </c>
      <c r="E467" s="1">
        <v>5</v>
      </c>
      <c r="F467" s="7"/>
      <c r="G467" s="8"/>
      <c r="H467" s="7"/>
      <c r="I467" s="1"/>
      <c r="J467" s="1">
        <v>9</v>
      </c>
      <c r="K467" s="1"/>
    </row>
    <row r="468" spans="1:11">
      <c r="A468" s="7"/>
      <c r="B468" s="7"/>
      <c r="C468" s="1">
        <f t="shared" si="9"/>
        <v>467</v>
      </c>
      <c r="D468" s="1" t="s">
        <v>25</v>
      </c>
      <c r="E468" s="1">
        <v>5</v>
      </c>
      <c r="F468" s="7"/>
      <c r="G468" s="8"/>
      <c r="H468" s="7"/>
      <c r="I468" s="1"/>
      <c r="J468" s="1">
        <v>4</v>
      </c>
      <c r="K468" s="1"/>
    </row>
    <row r="469" spans="1:11">
      <c r="A469" s="7"/>
      <c r="B469" s="7"/>
      <c r="C469" s="1">
        <f t="shared" si="9"/>
        <v>468</v>
      </c>
      <c r="D469" s="1" t="s">
        <v>25</v>
      </c>
      <c r="E469" s="1">
        <v>5</v>
      </c>
      <c r="F469" s="7"/>
      <c r="G469" s="8"/>
      <c r="H469" s="7"/>
      <c r="I469" s="1"/>
      <c r="J469" s="1">
        <f>SUM(J466:J468)</f>
        <v>19</v>
      </c>
      <c r="K469" s="1">
        <v>19</v>
      </c>
    </row>
    <row r="470" spans="1:11">
      <c r="A470" s="7"/>
      <c r="B470" s="7">
        <v>118</v>
      </c>
      <c r="C470" s="1">
        <f t="shared" si="9"/>
        <v>469</v>
      </c>
      <c r="D470" s="1" t="s">
        <v>25</v>
      </c>
      <c r="E470" s="1">
        <v>5</v>
      </c>
      <c r="F470" s="7" t="s">
        <v>24</v>
      </c>
      <c r="G470" s="7" t="s">
        <v>242</v>
      </c>
      <c r="H470" s="7" t="s">
        <v>45</v>
      </c>
      <c r="I470" s="1"/>
      <c r="J470" s="1">
        <v>1</v>
      </c>
      <c r="K470" s="1"/>
    </row>
    <row r="471" spans="1:11">
      <c r="A471" s="7"/>
      <c r="B471" s="7"/>
      <c r="C471" s="1">
        <f>C470+1</f>
        <v>470</v>
      </c>
      <c r="D471" s="1" t="s">
        <v>33</v>
      </c>
      <c r="E471" s="6" t="s">
        <v>204</v>
      </c>
      <c r="F471" s="7"/>
      <c r="G471" s="7"/>
      <c r="H471" s="7"/>
      <c r="I471" s="1"/>
      <c r="J471" s="1">
        <v>6</v>
      </c>
      <c r="K471" s="1"/>
    </row>
    <row r="472" spans="1:11">
      <c r="A472" s="7"/>
      <c r="B472" s="7"/>
      <c r="C472" s="25">
        <f t="shared" si="9"/>
        <v>471</v>
      </c>
      <c r="D472" s="1" t="s">
        <v>33</v>
      </c>
      <c r="E472" s="1">
        <v>0</v>
      </c>
      <c r="F472" s="7"/>
      <c r="G472" s="7"/>
      <c r="H472" s="7"/>
      <c r="I472" s="1"/>
      <c r="J472" s="1">
        <v>4</v>
      </c>
      <c r="K472" s="1"/>
    </row>
    <row r="473" spans="1:11">
      <c r="A473" s="7"/>
      <c r="B473" s="7"/>
      <c r="C473" s="1">
        <f t="shared" si="9"/>
        <v>472</v>
      </c>
      <c r="D473" s="1" t="s">
        <v>33</v>
      </c>
      <c r="E473" s="1">
        <v>5</v>
      </c>
      <c r="F473" s="7"/>
      <c r="G473" s="7"/>
      <c r="H473" s="7"/>
      <c r="I473" s="1"/>
      <c r="J473" s="1">
        <f>SUM(J470:J472)</f>
        <v>11</v>
      </c>
      <c r="K473" s="1">
        <v>11</v>
      </c>
    </row>
  </sheetData>
  <mergeCells count="452">
    <mergeCell ref="H422:H425"/>
    <mergeCell ref="H402:H405"/>
    <mergeCell ref="F406:F409"/>
    <mergeCell ref="G406:G409"/>
    <mergeCell ref="H406:H409"/>
    <mergeCell ref="F410:F413"/>
    <mergeCell ref="G410:G413"/>
    <mergeCell ref="H410:H413"/>
    <mergeCell ref="F414:F417"/>
    <mergeCell ref="F418:F421"/>
    <mergeCell ref="G414:G417"/>
    <mergeCell ref="G418:G421"/>
    <mergeCell ref="H414:H417"/>
    <mergeCell ref="H418:H421"/>
    <mergeCell ref="A402:A425"/>
    <mergeCell ref="B402:B405"/>
    <mergeCell ref="B406:B409"/>
    <mergeCell ref="B410:B413"/>
    <mergeCell ref="B414:B417"/>
    <mergeCell ref="B418:B421"/>
    <mergeCell ref="B422:B425"/>
    <mergeCell ref="F402:F405"/>
    <mergeCell ref="G402:G405"/>
    <mergeCell ref="F422:F425"/>
    <mergeCell ref="G422:G425"/>
    <mergeCell ref="I358:I361"/>
    <mergeCell ref="H398:H401"/>
    <mergeCell ref="H378:H381"/>
    <mergeCell ref="F382:F385"/>
    <mergeCell ref="G382:G385"/>
    <mergeCell ref="H382:H385"/>
    <mergeCell ref="F386:F389"/>
    <mergeCell ref="G386:G389"/>
    <mergeCell ref="H386:H389"/>
    <mergeCell ref="F390:F393"/>
    <mergeCell ref="F394:F397"/>
    <mergeCell ref="G390:G393"/>
    <mergeCell ref="H390:H393"/>
    <mergeCell ref="G394:G397"/>
    <mergeCell ref="H394:H397"/>
    <mergeCell ref="F374:F377"/>
    <mergeCell ref="G374:G377"/>
    <mergeCell ref="H374:H377"/>
    <mergeCell ref="I362:I365"/>
    <mergeCell ref="I366:I369"/>
    <mergeCell ref="A378:A401"/>
    <mergeCell ref="B378:B381"/>
    <mergeCell ref="B382:B385"/>
    <mergeCell ref="B386:B389"/>
    <mergeCell ref="B390:B393"/>
    <mergeCell ref="B394:B397"/>
    <mergeCell ref="B398:B401"/>
    <mergeCell ref="F378:F381"/>
    <mergeCell ref="G378:G381"/>
    <mergeCell ref="F398:F401"/>
    <mergeCell ref="G398:G401"/>
    <mergeCell ref="G354:G357"/>
    <mergeCell ref="G358:G361"/>
    <mergeCell ref="H354:H357"/>
    <mergeCell ref="H358:H361"/>
    <mergeCell ref="G362:G365"/>
    <mergeCell ref="H362:H365"/>
    <mergeCell ref="G366:G369"/>
    <mergeCell ref="H366:H369"/>
    <mergeCell ref="G370:G373"/>
    <mergeCell ref="H370:H373"/>
    <mergeCell ref="A66:A89"/>
    <mergeCell ref="A42:A65"/>
    <mergeCell ref="A18:A41"/>
    <mergeCell ref="A2:A17"/>
    <mergeCell ref="F354:F357"/>
    <mergeCell ref="F358:F361"/>
    <mergeCell ref="F362:F365"/>
    <mergeCell ref="F366:F369"/>
    <mergeCell ref="F370:F373"/>
    <mergeCell ref="F182:F185"/>
    <mergeCell ref="A282:A305"/>
    <mergeCell ref="A258:A281"/>
    <mergeCell ref="A234:A257"/>
    <mergeCell ref="A210:A233"/>
    <mergeCell ref="A186:A209"/>
    <mergeCell ref="A162:A185"/>
    <mergeCell ref="A138:A161"/>
    <mergeCell ref="A114:A137"/>
    <mergeCell ref="A90:A113"/>
    <mergeCell ref="B354:B357"/>
    <mergeCell ref="B358:B361"/>
    <mergeCell ref="B362:B365"/>
    <mergeCell ref="B366:B369"/>
    <mergeCell ref="B370:B373"/>
    <mergeCell ref="B374:B377"/>
    <mergeCell ref="A354:A377"/>
    <mergeCell ref="A330:A353"/>
    <mergeCell ref="A306:A329"/>
    <mergeCell ref="B342:B345"/>
    <mergeCell ref="F342:F345"/>
    <mergeCell ref="G342:G345"/>
    <mergeCell ref="H342:H345"/>
    <mergeCell ref="B346:B349"/>
    <mergeCell ref="F346:F349"/>
    <mergeCell ref="G346:G349"/>
    <mergeCell ref="H346:H349"/>
    <mergeCell ref="B350:B353"/>
    <mergeCell ref="F350:F353"/>
    <mergeCell ref="G350:G353"/>
    <mergeCell ref="H350:H353"/>
    <mergeCell ref="B330:B333"/>
    <mergeCell ref="F330:F333"/>
    <mergeCell ref="G330:G333"/>
    <mergeCell ref="H330:H333"/>
    <mergeCell ref="B334:B337"/>
    <mergeCell ref="F334:F337"/>
    <mergeCell ref="G334:G337"/>
    <mergeCell ref="H334:H337"/>
    <mergeCell ref="B338:B341"/>
    <mergeCell ref="F338:F341"/>
    <mergeCell ref="G338:G341"/>
    <mergeCell ref="H338:H341"/>
    <mergeCell ref="B18:B21"/>
    <mergeCell ref="B22:B25"/>
    <mergeCell ref="B26:B29"/>
    <mergeCell ref="B30:B33"/>
    <mergeCell ref="F18:F21"/>
    <mergeCell ref="F22:F25"/>
    <mergeCell ref="F26:F29"/>
    <mergeCell ref="F30:F33"/>
    <mergeCell ref="F34:F37"/>
    <mergeCell ref="F38:F41"/>
    <mergeCell ref="F42:F45"/>
    <mergeCell ref="F46:F49"/>
    <mergeCell ref="F50:F53"/>
    <mergeCell ref="B58:B61"/>
    <mergeCell ref="B34:B37"/>
    <mergeCell ref="B38:B41"/>
    <mergeCell ref="B42:B45"/>
    <mergeCell ref="B46:B49"/>
    <mergeCell ref="B50:B53"/>
    <mergeCell ref="B54:B57"/>
    <mergeCell ref="F54:F57"/>
    <mergeCell ref="G54:G57"/>
    <mergeCell ref="F58:F61"/>
    <mergeCell ref="G58:G61"/>
    <mergeCell ref="F62:F65"/>
    <mergeCell ref="F66:F69"/>
    <mergeCell ref="G66:G69"/>
    <mergeCell ref="B134:B137"/>
    <mergeCell ref="B138:B141"/>
    <mergeCell ref="B110:B113"/>
    <mergeCell ref="B114:B117"/>
    <mergeCell ref="B118:B121"/>
    <mergeCell ref="B122:B125"/>
    <mergeCell ref="B126:B129"/>
    <mergeCell ref="B130:B133"/>
    <mergeCell ref="B86:B89"/>
    <mergeCell ref="B90:B93"/>
    <mergeCell ref="B94:B97"/>
    <mergeCell ref="B98:B101"/>
    <mergeCell ref="B102:B105"/>
    <mergeCell ref="B106:B109"/>
    <mergeCell ref="B62:B65"/>
    <mergeCell ref="B66:B69"/>
    <mergeCell ref="B70:B73"/>
    <mergeCell ref="F70:F73"/>
    <mergeCell ref="G70:G73"/>
    <mergeCell ref="F74:F77"/>
    <mergeCell ref="G74:G77"/>
    <mergeCell ref="F78:F81"/>
    <mergeCell ref="G78:G81"/>
    <mergeCell ref="B158:B161"/>
    <mergeCell ref="B162:B165"/>
    <mergeCell ref="B166:B169"/>
    <mergeCell ref="B142:B145"/>
    <mergeCell ref="B146:B149"/>
    <mergeCell ref="B150:B153"/>
    <mergeCell ref="B154:B157"/>
    <mergeCell ref="B74:B77"/>
    <mergeCell ref="B78:B81"/>
    <mergeCell ref="B82:B85"/>
    <mergeCell ref="G94:G97"/>
    <mergeCell ref="F94:F97"/>
    <mergeCell ref="F98:F101"/>
    <mergeCell ref="G98:G101"/>
    <mergeCell ref="G102:G105"/>
    <mergeCell ref="F102:F105"/>
    <mergeCell ref="F82:F85"/>
    <mergeCell ref="G82:G85"/>
    <mergeCell ref="F86:F89"/>
    <mergeCell ref="G86:G89"/>
    <mergeCell ref="F90:F93"/>
    <mergeCell ref="G90:G93"/>
    <mergeCell ref="F118:F121"/>
    <mergeCell ref="G118:G121"/>
    <mergeCell ref="F122:F125"/>
    <mergeCell ref="G122:G125"/>
    <mergeCell ref="G126:G129"/>
    <mergeCell ref="F126:F129"/>
    <mergeCell ref="G106:G109"/>
    <mergeCell ref="F106:F109"/>
    <mergeCell ref="G110:G113"/>
    <mergeCell ref="F110:F113"/>
    <mergeCell ref="F114:F117"/>
    <mergeCell ref="G114:G117"/>
    <mergeCell ref="F142:F145"/>
    <mergeCell ref="G142:G145"/>
    <mergeCell ref="F146:F149"/>
    <mergeCell ref="G146:G149"/>
    <mergeCell ref="F150:F153"/>
    <mergeCell ref="G150:G153"/>
    <mergeCell ref="F130:F133"/>
    <mergeCell ref="G130:G133"/>
    <mergeCell ref="F134:F137"/>
    <mergeCell ref="G134:G137"/>
    <mergeCell ref="F138:F141"/>
    <mergeCell ref="G138:G141"/>
    <mergeCell ref="F166:F169"/>
    <mergeCell ref="G166:G169"/>
    <mergeCell ref="B170:B173"/>
    <mergeCell ref="D170:D173"/>
    <mergeCell ref="F170:F173"/>
    <mergeCell ref="G170:G173"/>
    <mergeCell ref="F154:F157"/>
    <mergeCell ref="G154:G157"/>
    <mergeCell ref="F158:F161"/>
    <mergeCell ref="G158:G161"/>
    <mergeCell ref="F162:F165"/>
    <mergeCell ref="G162:G165"/>
    <mergeCell ref="B174:B177"/>
    <mergeCell ref="D174:D177"/>
    <mergeCell ref="F174:F177"/>
    <mergeCell ref="G174:G177"/>
    <mergeCell ref="B178:B181"/>
    <mergeCell ref="D178:D181"/>
    <mergeCell ref="F178:F181"/>
    <mergeCell ref="G178:G181"/>
    <mergeCell ref="G182:G185"/>
    <mergeCell ref="F190:F193"/>
    <mergeCell ref="G190:G193"/>
    <mergeCell ref="H190:H193"/>
    <mergeCell ref="B194:B197"/>
    <mergeCell ref="D194:D197"/>
    <mergeCell ref="F194:F197"/>
    <mergeCell ref="G194:G197"/>
    <mergeCell ref="H194:H197"/>
    <mergeCell ref="B182:B185"/>
    <mergeCell ref="D182:D185"/>
    <mergeCell ref="B186:B189"/>
    <mergeCell ref="D186:D189"/>
    <mergeCell ref="F186:F189"/>
    <mergeCell ref="G186:G189"/>
    <mergeCell ref="H186:H189"/>
    <mergeCell ref="H182:H185"/>
    <mergeCell ref="B190:B193"/>
    <mergeCell ref="D190:D193"/>
    <mergeCell ref="G206:G209"/>
    <mergeCell ref="H206:H209"/>
    <mergeCell ref="B210:B213"/>
    <mergeCell ref="F210:F213"/>
    <mergeCell ref="G210:G213"/>
    <mergeCell ref="H210:H213"/>
    <mergeCell ref="B198:B201"/>
    <mergeCell ref="F198:F201"/>
    <mergeCell ref="G198:G201"/>
    <mergeCell ref="H198:H201"/>
    <mergeCell ref="B202:B205"/>
    <mergeCell ref="F202:F205"/>
    <mergeCell ref="G202:G205"/>
    <mergeCell ref="H202:H205"/>
    <mergeCell ref="B206:B209"/>
    <mergeCell ref="F206:F209"/>
    <mergeCell ref="G222:G225"/>
    <mergeCell ref="H222:H225"/>
    <mergeCell ref="B226:B229"/>
    <mergeCell ref="F226:F229"/>
    <mergeCell ref="G226:G229"/>
    <mergeCell ref="H226:H229"/>
    <mergeCell ref="B222:B225"/>
    <mergeCell ref="F222:F225"/>
    <mergeCell ref="B214:B217"/>
    <mergeCell ref="F214:F217"/>
    <mergeCell ref="G214:G217"/>
    <mergeCell ref="H214:H217"/>
    <mergeCell ref="B218:B221"/>
    <mergeCell ref="F218:F221"/>
    <mergeCell ref="G218:G221"/>
    <mergeCell ref="H218:H221"/>
    <mergeCell ref="G238:G241"/>
    <mergeCell ref="H238:H241"/>
    <mergeCell ref="B242:B245"/>
    <mergeCell ref="F242:F245"/>
    <mergeCell ref="G242:G245"/>
    <mergeCell ref="H242:H245"/>
    <mergeCell ref="B230:B233"/>
    <mergeCell ref="F230:F233"/>
    <mergeCell ref="G230:G233"/>
    <mergeCell ref="H230:H233"/>
    <mergeCell ref="B234:B237"/>
    <mergeCell ref="F234:F237"/>
    <mergeCell ref="G234:G237"/>
    <mergeCell ref="H234:H237"/>
    <mergeCell ref="G254:G257"/>
    <mergeCell ref="H254:H257"/>
    <mergeCell ref="B258:B261"/>
    <mergeCell ref="F258:F261"/>
    <mergeCell ref="G258:G261"/>
    <mergeCell ref="H258:H261"/>
    <mergeCell ref="B246:B249"/>
    <mergeCell ref="F246:F249"/>
    <mergeCell ref="G246:G249"/>
    <mergeCell ref="H246:H249"/>
    <mergeCell ref="B250:B253"/>
    <mergeCell ref="F250:F253"/>
    <mergeCell ref="G250:G253"/>
    <mergeCell ref="H250:H253"/>
    <mergeCell ref="G270:G273"/>
    <mergeCell ref="H270:H273"/>
    <mergeCell ref="B274:B277"/>
    <mergeCell ref="F274:F277"/>
    <mergeCell ref="G274:G277"/>
    <mergeCell ref="H274:H277"/>
    <mergeCell ref="B262:B265"/>
    <mergeCell ref="F262:F265"/>
    <mergeCell ref="G262:G265"/>
    <mergeCell ref="H262:H265"/>
    <mergeCell ref="B266:B269"/>
    <mergeCell ref="F266:F269"/>
    <mergeCell ref="G266:G269"/>
    <mergeCell ref="H266:H269"/>
    <mergeCell ref="G286:G289"/>
    <mergeCell ref="H286:H289"/>
    <mergeCell ref="B290:B293"/>
    <mergeCell ref="F290:F293"/>
    <mergeCell ref="G290:G293"/>
    <mergeCell ref="H290:H293"/>
    <mergeCell ref="B278:B281"/>
    <mergeCell ref="F278:F281"/>
    <mergeCell ref="G278:G281"/>
    <mergeCell ref="H278:H281"/>
    <mergeCell ref="B282:B285"/>
    <mergeCell ref="F282:F285"/>
    <mergeCell ref="G282:G285"/>
    <mergeCell ref="H282:H285"/>
    <mergeCell ref="G302:G305"/>
    <mergeCell ref="H302:H305"/>
    <mergeCell ref="B306:B309"/>
    <mergeCell ref="F306:F309"/>
    <mergeCell ref="G306:G309"/>
    <mergeCell ref="H306:H309"/>
    <mergeCell ref="B294:B297"/>
    <mergeCell ref="F294:F297"/>
    <mergeCell ref="G294:G297"/>
    <mergeCell ref="H294:H297"/>
    <mergeCell ref="B298:B301"/>
    <mergeCell ref="F298:F301"/>
    <mergeCell ref="G298:G301"/>
    <mergeCell ref="H298:H301"/>
    <mergeCell ref="G326:G329"/>
    <mergeCell ref="H326:H329"/>
    <mergeCell ref="D86:D89"/>
    <mergeCell ref="D18:D21"/>
    <mergeCell ref="D110:D113"/>
    <mergeCell ref="D126:D129"/>
    <mergeCell ref="D166:D169"/>
    <mergeCell ref="H178:H181"/>
    <mergeCell ref="B318:B321"/>
    <mergeCell ref="F318:F321"/>
    <mergeCell ref="G318:G321"/>
    <mergeCell ref="H318:H321"/>
    <mergeCell ref="B322:B325"/>
    <mergeCell ref="F322:F325"/>
    <mergeCell ref="G322:G325"/>
    <mergeCell ref="H322:H325"/>
    <mergeCell ref="B310:B313"/>
    <mergeCell ref="F310:F313"/>
    <mergeCell ref="G310:G313"/>
    <mergeCell ref="H310:H313"/>
    <mergeCell ref="B314:B317"/>
    <mergeCell ref="F314:F317"/>
    <mergeCell ref="G314:G317"/>
    <mergeCell ref="H314:H317"/>
    <mergeCell ref="H442:H445"/>
    <mergeCell ref="B446:B449"/>
    <mergeCell ref="F446:F449"/>
    <mergeCell ref="G446:G449"/>
    <mergeCell ref="B14:B17"/>
    <mergeCell ref="B10:B13"/>
    <mergeCell ref="B6:B9"/>
    <mergeCell ref="B2:B5"/>
    <mergeCell ref="F2:F5"/>
    <mergeCell ref="F6:F9"/>
    <mergeCell ref="F10:F13"/>
    <mergeCell ref="F14:F17"/>
    <mergeCell ref="B326:B329"/>
    <mergeCell ref="F326:F329"/>
    <mergeCell ref="B302:B305"/>
    <mergeCell ref="F302:F305"/>
    <mergeCell ref="B286:B289"/>
    <mergeCell ref="F286:F289"/>
    <mergeCell ref="B270:B273"/>
    <mergeCell ref="F270:F273"/>
    <mergeCell ref="B254:B257"/>
    <mergeCell ref="F254:F257"/>
    <mergeCell ref="B238:B241"/>
    <mergeCell ref="F238:F241"/>
    <mergeCell ref="H446:H449"/>
    <mergeCell ref="I390:I393"/>
    <mergeCell ref="I414:I417"/>
    <mergeCell ref="I418:I421"/>
    <mergeCell ref="A426:A449"/>
    <mergeCell ref="B426:B429"/>
    <mergeCell ref="F426:F429"/>
    <mergeCell ref="G426:G429"/>
    <mergeCell ref="H426:H429"/>
    <mergeCell ref="B430:B433"/>
    <mergeCell ref="F430:F433"/>
    <mergeCell ref="G430:G433"/>
    <mergeCell ref="H430:H433"/>
    <mergeCell ref="B434:B437"/>
    <mergeCell ref="F434:F437"/>
    <mergeCell ref="G434:G437"/>
    <mergeCell ref="H434:H437"/>
    <mergeCell ref="B438:B441"/>
    <mergeCell ref="F438:F441"/>
    <mergeCell ref="G438:G441"/>
    <mergeCell ref="H438:H441"/>
    <mergeCell ref="B442:B445"/>
    <mergeCell ref="F442:F445"/>
    <mergeCell ref="G442:G445"/>
    <mergeCell ref="A450:A473"/>
    <mergeCell ref="B450:B453"/>
    <mergeCell ref="B454:B457"/>
    <mergeCell ref="B458:B461"/>
    <mergeCell ref="B462:B465"/>
    <mergeCell ref="B466:B469"/>
    <mergeCell ref="B470:B473"/>
    <mergeCell ref="F450:F453"/>
    <mergeCell ref="F454:F457"/>
    <mergeCell ref="F458:F461"/>
    <mergeCell ref="F462:F465"/>
    <mergeCell ref="F466:F469"/>
    <mergeCell ref="F470:F473"/>
    <mergeCell ref="G450:G453"/>
    <mergeCell ref="H450:H453"/>
    <mergeCell ref="G454:G457"/>
    <mergeCell ref="H454:H457"/>
    <mergeCell ref="G458:G461"/>
    <mergeCell ref="G462:G465"/>
    <mergeCell ref="G466:G469"/>
    <mergeCell ref="G470:G473"/>
    <mergeCell ref="H458:H461"/>
    <mergeCell ref="H462:H465"/>
    <mergeCell ref="H466:H469"/>
    <mergeCell ref="H470:H47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"/>
  <sheetViews>
    <sheetView topLeftCell="A50" workbookViewId="0">
      <selection activeCell="J50" sqref="J50"/>
    </sheetView>
  </sheetViews>
  <sheetFormatPr defaultColWidth="11" defaultRowHeight="15.75"/>
  <cols>
    <col min="1" max="1" width="15.875" customWidth="1"/>
  </cols>
  <sheetData>
    <row r="1" spans="1:6">
      <c r="A1" t="s">
        <v>0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 spans="1:6">
      <c r="A2" s="3">
        <v>1</v>
      </c>
      <c r="B2" s="4">
        <v>2</v>
      </c>
      <c r="C2" s="4">
        <v>2</v>
      </c>
      <c r="D2" s="4"/>
      <c r="E2" s="4"/>
      <c r="F2" s="4">
        <f>SUM(B2:D2)</f>
        <v>4</v>
      </c>
    </row>
    <row r="3" spans="1:6">
      <c r="A3" s="3">
        <v>2</v>
      </c>
      <c r="B3" s="4">
        <v>1</v>
      </c>
      <c r="C3" s="4">
        <v>1</v>
      </c>
      <c r="D3" s="4"/>
      <c r="E3" s="4"/>
      <c r="F3" s="4">
        <f t="shared" ref="F3:F62" si="0">SUM(B3:D3)</f>
        <v>2</v>
      </c>
    </row>
    <row r="4" spans="1:6">
      <c r="A4" s="3">
        <v>3</v>
      </c>
      <c r="B4" s="4">
        <v>2</v>
      </c>
      <c r="C4" s="4">
        <v>2</v>
      </c>
      <c r="D4" s="4"/>
      <c r="E4" s="4"/>
      <c r="F4" s="4">
        <f t="shared" si="0"/>
        <v>4</v>
      </c>
    </row>
    <row r="5" spans="1:6">
      <c r="A5" s="3">
        <v>4</v>
      </c>
      <c r="B5" s="4">
        <v>1</v>
      </c>
      <c r="C5" s="4">
        <v>1</v>
      </c>
      <c r="D5" s="4"/>
      <c r="E5" s="4"/>
      <c r="F5" s="4">
        <f t="shared" si="0"/>
        <v>2</v>
      </c>
    </row>
    <row r="6" spans="1:6">
      <c r="A6" s="3">
        <v>5</v>
      </c>
      <c r="B6" s="4">
        <v>2</v>
      </c>
      <c r="C6" s="4"/>
      <c r="D6" s="4"/>
      <c r="E6" s="4"/>
      <c r="F6" s="4">
        <f t="shared" si="0"/>
        <v>2</v>
      </c>
    </row>
    <row r="7" spans="1:6">
      <c r="A7" s="3">
        <v>6</v>
      </c>
      <c r="B7" s="4">
        <v>3</v>
      </c>
      <c r="C7" s="4">
        <v>1</v>
      </c>
      <c r="D7" s="4"/>
      <c r="E7" s="4"/>
      <c r="F7" s="4">
        <f t="shared" si="0"/>
        <v>4</v>
      </c>
    </row>
    <row r="8" spans="1:6">
      <c r="A8" s="3">
        <v>7</v>
      </c>
      <c r="B8" s="4">
        <v>4</v>
      </c>
      <c r="C8" s="4"/>
      <c r="D8" s="4"/>
      <c r="E8" s="4"/>
      <c r="F8" s="4">
        <f t="shared" si="0"/>
        <v>4</v>
      </c>
    </row>
    <row r="9" spans="1:6">
      <c r="A9" s="3">
        <v>8</v>
      </c>
      <c r="B9" s="4">
        <v>4</v>
      </c>
      <c r="C9" s="4"/>
      <c r="D9" s="4"/>
      <c r="E9" s="4"/>
      <c r="F9" s="4">
        <f t="shared" si="0"/>
        <v>4</v>
      </c>
    </row>
    <row r="10" spans="1:6">
      <c r="A10" s="3">
        <v>9</v>
      </c>
      <c r="B10" s="4">
        <v>4</v>
      </c>
      <c r="C10" s="4"/>
      <c r="D10" s="4"/>
      <c r="E10" s="4"/>
      <c r="F10" s="4">
        <f t="shared" si="0"/>
        <v>4</v>
      </c>
    </row>
    <row r="11" spans="1:6">
      <c r="A11" s="3">
        <v>10</v>
      </c>
      <c r="B11" s="4">
        <v>3</v>
      </c>
      <c r="C11" s="4">
        <v>1</v>
      </c>
      <c r="D11" s="4"/>
      <c r="E11" s="4"/>
      <c r="F11" s="4">
        <f t="shared" si="0"/>
        <v>4</v>
      </c>
    </row>
    <row r="12" spans="1:6">
      <c r="A12" s="3">
        <v>11</v>
      </c>
      <c r="B12" s="4">
        <v>3</v>
      </c>
      <c r="C12" s="4">
        <v>1</v>
      </c>
      <c r="D12" s="4"/>
      <c r="E12" s="4"/>
      <c r="F12" s="4">
        <f t="shared" si="0"/>
        <v>4</v>
      </c>
    </row>
    <row r="13" spans="1:6">
      <c r="A13" s="3">
        <v>12</v>
      </c>
      <c r="B13" s="4">
        <v>3</v>
      </c>
      <c r="C13" s="4">
        <v>1</v>
      </c>
      <c r="D13" s="4"/>
      <c r="E13" s="4"/>
      <c r="F13" s="4">
        <f t="shared" si="0"/>
        <v>4</v>
      </c>
    </row>
    <row r="14" spans="1:6">
      <c r="A14" s="3">
        <v>13</v>
      </c>
      <c r="B14" s="4">
        <v>2</v>
      </c>
      <c r="C14" s="4">
        <v>2</v>
      </c>
      <c r="D14" s="4"/>
      <c r="E14" s="4"/>
      <c r="F14" s="4">
        <f t="shared" si="0"/>
        <v>4</v>
      </c>
    </row>
    <row r="15" spans="1:6">
      <c r="A15" s="3">
        <v>14</v>
      </c>
      <c r="B15" s="4">
        <v>6</v>
      </c>
      <c r="C15" s="4">
        <v>2</v>
      </c>
      <c r="D15" s="4"/>
      <c r="E15" s="4"/>
      <c r="F15" s="4">
        <f t="shared" si="0"/>
        <v>8</v>
      </c>
    </row>
    <row r="16" spans="1:6">
      <c r="A16" s="3">
        <v>15</v>
      </c>
      <c r="B16" s="4">
        <v>7</v>
      </c>
      <c r="C16" s="4">
        <v>1</v>
      </c>
      <c r="D16" s="4"/>
      <c r="E16" s="4"/>
      <c r="F16" s="4">
        <f t="shared" si="0"/>
        <v>8</v>
      </c>
    </row>
    <row r="17" spans="1:6">
      <c r="A17" s="3">
        <v>16</v>
      </c>
      <c r="B17" s="4">
        <v>2</v>
      </c>
      <c r="C17" s="4">
        <v>2</v>
      </c>
      <c r="D17" s="4"/>
      <c r="E17" s="4"/>
      <c r="F17" s="4">
        <f t="shared" si="0"/>
        <v>4</v>
      </c>
    </row>
    <row r="18" spans="1:6">
      <c r="A18" s="3">
        <v>17</v>
      </c>
      <c r="B18" s="4">
        <v>6</v>
      </c>
      <c r="C18" s="4">
        <v>2</v>
      </c>
      <c r="D18" s="4"/>
      <c r="E18" s="4"/>
      <c r="F18" s="4">
        <f t="shared" si="0"/>
        <v>8</v>
      </c>
    </row>
    <row r="19" spans="1:6">
      <c r="A19" s="3">
        <v>18</v>
      </c>
      <c r="B19" s="4">
        <v>4</v>
      </c>
      <c r="C19" s="4"/>
      <c r="D19" s="4"/>
      <c r="E19" s="4"/>
      <c r="F19" s="4">
        <f t="shared" si="0"/>
        <v>4</v>
      </c>
    </row>
    <row r="20" spans="1:6">
      <c r="A20" s="3">
        <v>19</v>
      </c>
      <c r="B20" s="4">
        <v>6</v>
      </c>
      <c r="C20" s="4"/>
      <c r="D20" s="4"/>
      <c r="E20" s="4"/>
      <c r="F20" s="4">
        <f t="shared" si="0"/>
        <v>6</v>
      </c>
    </row>
    <row r="21" spans="1:6">
      <c r="A21" s="3">
        <v>20</v>
      </c>
      <c r="B21" s="4">
        <v>6</v>
      </c>
      <c r="C21" s="4">
        <v>2</v>
      </c>
      <c r="D21" s="4"/>
      <c r="E21" s="4"/>
      <c r="F21" s="4">
        <f t="shared" si="0"/>
        <v>8</v>
      </c>
    </row>
    <row r="22" spans="1:6">
      <c r="A22" s="3">
        <v>21</v>
      </c>
      <c r="B22" s="4">
        <v>6</v>
      </c>
      <c r="C22" s="4">
        <v>1</v>
      </c>
      <c r="D22" s="4">
        <v>1</v>
      </c>
      <c r="E22" s="4"/>
      <c r="F22" s="4">
        <f t="shared" si="0"/>
        <v>8</v>
      </c>
    </row>
    <row r="23" spans="1:6">
      <c r="A23" s="3">
        <v>22</v>
      </c>
      <c r="B23" s="4">
        <v>3</v>
      </c>
      <c r="C23" s="4">
        <v>2</v>
      </c>
      <c r="D23" s="4"/>
      <c r="E23" s="4"/>
      <c r="F23" s="4">
        <f t="shared" si="0"/>
        <v>5</v>
      </c>
    </row>
    <row r="24" spans="1:6">
      <c r="A24" s="3">
        <v>23</v>
      </c>
      <c r="B24" s="4">
        <v>6</v>
      </c>
      <c r="C24" s="4">
        <v>2</v>
      </c>
      <c r="D24" s="4"/>
      <c r="E24" s="4"/>
      <c r="F24" s="4">
        <f t="shared" si="0"/>
        <v>8</v>
      </c>
    </row>
    <row r="25" spans="1:6">
      <c r="A25" s="3">
        <v>24</v>
      </c>
      <c r="B25" s="4">
        <v>6</v>
      </c>
      <c r="C25" s="4">
        <v>2</v>
      </c>
      <c r="D25" s="4"/>
      <c r="E25" s="4"/>
      <c r="F25" s="4">
        <f t="shared" si="0"/>
        <v>8</v>
      </c>
    </row>
    <row r="26" spans="1:6">
      <c r="A26" s="3">
        <v>25</v>
      </c>
      <c r="B26" s="4">
        <v>6</v>
      </c>
      <c r="C26" s="4">
        <v>2</v>
      </c>
      <c r="D26" s="4"/>
      <c r="E26" s="4"/>
      <c r="F26" s="4">
        <f t="shared" si="0"/>
        <v>8</v>
      </c>
    </row>
    <row r="27" spans="1:6">
      <c r="A27" s="3">
        <v>26</v>
      </c>
      <c r="B27" s="4">
        <v>5</v>
      </c>
      <c r="C27" s="4">
        <v>2</v>
      </c>
      <c r="D27" s="4"/>
      <c r="E27" s="4"/>
      <c r="F27" s="4">
        <f t="shared" si="0"/>
        <v>7</v>
      </c>
    </row>
    <row r="28" spans="1:6">
      <c r="A28" s="3">
        <v>27</v>
      </c>
      <c r="B28" s="4">
        <v>6</v>
      </c>
      <c r="C28" s="4">
        <v>2</v>
      </c>
      <c r="D28" s="4"/>
      <c r="E28" s="4"/>
      <c r="F28" s="4">
        <f t="shared" si="0"/>
        <v>8</v>
      </c>
    </row>
    <row r="29" spans="1:6">
      <c r="A29" s="3">
        <v>28</v>
      </c>
      <c r="B29" s="4">
        <v>5</v>
      </c>
      <c r="C29" s="4">
        <v>1</v>
      </c>
      <c r="D29" s="4"/>
      <c r="E29" s="4"/>
      <c r="F29" s="4">
        <f t="shared" si="0"/>
        <v>6</v>
      </c>
    </row>
    <row r="30" spans="1:6">
      <c r="A30" s="3">
        <v>29</v>
      </c>
      <c r="B30" s="4">
        <v>6</v>
      </c>
      <c r="C30" s="4">
        <v>2</v>
      </c>
      <c r="D30" s="4"/>
      <c r="E30" s="4"/>
      <c r="F30" s="4">
        <f t="shared" si="0"/>
        <v>8</v>
      </c>
    </row>
    <row r="31" spans="1:6">
      <c r="A31" s="3">
        <v>30</v>
      </c>
      <c r="B31" s="4">
        <v>6</v>
      </c>
      <c r="C31" s="4">
        <v>2</v>
      </c>
      <c r="D31" s="4"/>
      <c r="E31" s="4"/>
      <c r="F31" s="4">
        <f t="shared" si="0"/>
        <v>8</v>
      </c>
    </row>
    <row r="32" spans="1:6">
      <c r="A32" s="3">
        <v>31</v>
      </c>
      <c r="B32" s="4">
        <v>6</v>
      </c>
      <c r="C32" s="4">
        <v>2</v>
      </c>
      <c r="D32" s="4"/>
      <c r="E32" s="4"/>
      <c r="F32" s="4">
        <f t="shared" si="0"/>
        <v>8</v>
      </c>
    </row>
    <row r="33" spans="1:26">
      <c r="A33" s="3">
        <v>32</v>
      </c>
      <c r="B33" s="4">
        <v>4</v>
      </c>
      <c r="C33" s="4">
        <v>2</v>
      </c>
      <c r="D33" s="4"/>
      <c r="E33" s="4"/>
      <c r="F33" s="4">
        <f t="shared" si="0"/>
        <v>6</v>
      </c>
    </row>
    <row r="34" spans="1:26">
      <c r="A34" s="3">
        <v>33</v>
      </c>
      <c r="B34" s="4">
        <v>6</v>
      </c>
      <c r="C34" s="4">
        <v>2</v>
      </c>
      <c r="D34" s="4"/>
      <c r="E34" s="4"/>
      <c r="F34" s="4">
        <f t="shared" si="0"/>
        <v>8</v>
      </c>
    </row>
    <row r="35" spans="1:26">
      <c r="A35" s="3">
        <v>34</v>
      </c>
      <c r="B35" s="4">
        <v>6</v>
      </c>
      <c r="C35" s="4">
        <v>2</v>
      </c>
      <c r="D35" s="4"/>
      <c r="E35" s="4"/>
      <c r="F35" s="4">
        <f t="shared" si="0"/>
        <v>8</v>
      </c>
    </row>
    <row r="36" spans="1:26">
      <c r="A36" s="3">
        <v>35</v>
      </c>
      <c r="B36" s="4">
        <v>6</v>
      </c>
      <c r="C36" s="4">
        <v>2</v>
      </c>
      <c r="D36" s="4"/>
      <c r="E36" s="4"/>
      <c r="F36" s="4">
        <f t="shared" si="0"/>
        <v>8</v>
      </c>
    </row>
    <row r="37" spans="1:26">
      <c r="A37" s="3">
        <v>36</v>
      </c>
      <c r="B37" s="4">
        <v>9</v>
      </c>
      <c r="C37" s="4">
        <v>1</v>
      </c>
      <c r="D37" s="4">
        <v>2</v>
      </c>
      <c r="E37" s="4"/>
      <c r="F37" s="4">
        <f t="shared" si="0"/>
        <v>12</v>
      </c>
      <c r="J37">
        <v>171</v>
      </c>
      <c r="K37">
        <v>170</v>
      </c>
      <c r="L37">
        <v>17</v>
      </c>
      <c r="M37">
        <v>35</v>
      </c>
      <c r="O37">
        <v>176</v>
      </c>
      <c r="P37">
        <v>175</v>
      </c>
      <c r="Q37">
        <v>16</v>
      </c>
      <c r="R37">
        <v>41</v>
      </c>
      <c r="T37">
        <f t="shared" ref="T37:W50" si="1">O37-J37</f>
        <v>5</v>
      </c>
      <c r="U37">
        <f t="shared" si="1"/>
        <v>5</v>
      </c>
      <c r="V37">
        <f t="shared" si="1"/>
        <v>-1</v>
      </c>
      <c r="W37">
        <f t="shared" si="1"/>
        <v>6</v>
      </c>
      <c r="Y37">
        <f t="shared" ref="Y37:Y50" si="2">T37+U37+V37+W37</f>
        <v>15</v>
      </c>
      <c r="Z37" s="5">
        <f t="shared" ref="Z37:Z46" si="3">Y37/F37</f>
        <v>1.25</v>
      </c>
    </row>
    <row r="38" spans="1:26">
      <c r="A38" s="3">
        <v>37</v>
      </c>
      <c r="B38" s="4">
        <v>10</v>
      </c>
      <c r="C38" s="4">
        <v>2</v>
      </c>
      <c r="D38" s="4"/>
      <c r="E38" s="4"/>
      <c r="F38" s="4">
        <f t="shared" si="0"/>
        <v>12</v>
      </c>
      <c r="J38">
        <v>174</v>
      </c>
      <c r="K38">
        <v>174</v>
      </c>
      <c r="L38">
        <v>0</v>
      </c>
      <c r="M38">
        <v>0</v>
      </c>
      <c r="O38">
        <v>189</v>
      </c>
      <c r="P38">
        <v>189</v>
      </c>
      <c r="Q38">
        <v>0</v>
      </c>
      <c r="R38">
        <v>0</v>
      </c>
      <c r="T38">
        <f t="shared" si="1"/>
        <v>15</v>
      </c>
      <c r="U38">
        <f t="shared" si="1"/>
        <v>15</v>
      </c>
      <c r="V38">
        <f t="shared" si="1"/>
        <v>0</v>
      </c>
      <c r="W38">
        <f t="shared" si="1"/>
        <v>0</v>
      </c>
      <c r="Y38">
        <f t="shared" si="2"/>
        <v>30</v>
      </c>
      <c r="Z38" s="5">
        <f t="shared" si="3"/>
        <v>2.5</v>
      </c>
    </row>
    <row r="39" spans="1:26">
      <c r="A39" s="3">
        <v>38</v>
      </c>
      <c r="B39" s="4">
        <v>10</v>
      </c>
      <c r="C39" s="4">
        <v>2</v>
      </c>
      <c r="D39" s="4"/>
      <c r="E39" s="4"/>
      <c r="F39" s="4">
        <f t="shared" si="0"/>
        <v>12</v>
      </c>
      <c r="J39">
        <v>151</v>
      </c>
      <c r="K39">
        <v>150</v>
      </c>
      <c r="L39">
        <v>13</v>
      </c>
      <c r="M39">
        <v>29</v>
      </c>
      <c r="O39">
        <v>156</v>
      </c>
      <c r="P39">
        <v>155</v>
      </c>
      <c r="Q39">
        <v>18</v>
      </c>
      <c r="R39">
        <v>33</v>
      </c>
      <c r="T39">
        <f t="shared" si="1"/>
        <v>5</v>
      </c>
      <c r="U39">
        <f t="shared" si="1"/>
        <v>5</v>
      </c>
      <c r="V39">
        <f t="shared" si="1"/>
        <v>5</v>
      </c>
      <c r="W39">
        <f t="shared" si="1"/>
        <v>4</v>
      </c>
      <c r="Y39">
        <f t="shared" si="2"/>
        <v>19</v>
      </c>
      <c r="Z39" s="5">
        <f t="shared" si="3"/>
        <v>1.5833333333333333</v>
      </c>
    </row>
    <row r="40" spans="1:26">
      <c r="A40" s="3">
        <v>39</v>
      </c>
      <c r="B40" s="4">
        <v>10</v>
      </c>
      <c r="C40" s="4">
        <v>2</v>
      </c>
      <c r="D40" s="4"/>
      <c r="E40" s="4"/>
      <c r="F40" s="4">
        <f t="shared" si="0"/>
        <v>12</v>
      </c>
      <c r="J40">
        <v>169</v>
      </c>
      <c r="K40">
        <v>169</v>
      </c>
      <c r="L40">
        <v>0</v>
      </c>
      <c r="M40">
        <v>0</v>
      </c>
      <c r="O40">
        <v>183</v>
      </c>
      <c r="P40">
        <v>183</v>
      </c>
      <c r="Q40">
        <v>0</v>
      </c>
      <c r="R40">
        <v>0</v>
      </c>
      <c r="T40">
        <f t="shared" si="1"/>
        <v>14</v>
      </c>
      <c r="U40">
        <f t="shared" si="1"/>
        <v>14</v>
      </c>
      <c r="V40">
        <f t="shared" si="1"/>
        <v>0</v>
      </c>
      <c r="W40">
        <f t="shared" si="1"/>
        <v>0</v>
      </c>
      <c r="Y40">
        <f t="shared" si="2"/>
        <v>28</v>
      </c>
      <c r="Z40" s="5">
        <f t="shared" si="3"/>
        <v>2.3333333333333335</v>
      </c>
    </row>
    <row r="41" spans="1:26">
      <c r="A41" s="3">
        <v>40</v>
      </c>
      <c r="B41" s="4">
        <v>10</v>
      </c>
      <c r="C41" s="4">
        <v>1</v>
      </c>
      <c r="D41" s="4">
        <v>1</v>
      </c>
      <c r="E41" s="4"/>
      <c r="F41" s="4">
        <f t="shared" si="0"/>
        <v>12</v>
      </c>
      <c r="J41">
        <v>77</v>
      </c>
      <c r="K41">
        <v>77</v>
      </c>
      <c r="L41">
        <v>15</v>
      </c>
      <c r="M41">
        <v>20</v>
      </c>
      <c r="O41">
        <v>84</v>
      </c>
      <c r="P41">
        <v>84</v>
      </c>
      <c r="Q41">
        <v>15</v>
      </c>
      <c r="R41">
        <v>18</v>
      </c>
      <c r="T41">
        <f t="shared" si="1"/>
        <v>7</v>
      </c>
      <c r="U41">
        <f t="shared" si="1"/>
        <v>7</v>
      </c>
      <c r="V41">
        <f t="shared" si="1"/>
        <v>0</v>
      </c>
      <c r="W41">
        <f t="shared" si="1"/>
        <v>-2</v>
      </c>
      <c r="Y41">
        <f t="shared" si="2"/>
        <v>12</v>
      </c>
      <c r="Z41" s="5">
        <f t="shared" si="3"/>
        <v>1</v>
      </c>
    </row>
    <row r="42" spans="1:26">
      <c r="A42" s="3">
        <v>41</v>
      </c>
      <c r="B42" s="4">
        <v>10</v>
      </c>
      <c r="C42" s="4">
        <v>2</v>
      </c>
      <c r="D42" s="4"/>
      <c r="E42" s="4"/>
      <c r="F42" s="4">
        <f t="shared" si="0"/>
        <v>12</v>
      </c>
      <c r="J42">
        <v>169</v>
      </c>
      <c r="K42">
        <v>177</v>
      </c>
      <c r="L42">
        <v>0</v>
      </c>
      <c r="M42">
        <v>0</v>
      </c>
      <c r="O42">
        <v>183</v>
      </c>
      <c r="P42">
        <v>191</v>
      </c>
      <c r="Q42">
        <v>0</v>
      </c>
      <c r="R42">
        <v>0</v>
      </c>
      <c r="T42">
        <f t="shared" si="1"/>
        <v>14</v>
      </c>
      <c r="U42">
        <f t="shared" si="1"/>
        <v>14</v>
      </c>
      <c r="V42">
        <f t="shared" si="1"/>
        <v>0</v>
      </c>
      <c r="W42">
        <f t="shared" si="1"/>
        <v>0</v>
      </c>
      <c r="Y42">
        <f t="shared" si="2"/>
        <v>28</v>
      </c>
      <c r="Z42" s="5">
        <f t="shared" si="3"/>
        <v>2.3333333333333335</v>
      </c>
    </row>
    <row r="43" spans="1:26">
      <c r="A43" s="3">
        <v>42</v>
      </c>
      <c r="B43" s="4">
        <v>5</v>
      </c>
      <c r="C43" s="4">
        <v>1</v>
      </c>
      <c r="D43" s="4"/>
      <c r="E43" s="4"/>
      <c r="F43" s="4">
        <f t="shared" si="0"/>
        <v>6</v>
      </c>
      <c r="J43">
        <v>273</v>
      </c>
      <c r="K43">
        <v>277</v>
      </c>
      <c r="L43">
        <v>0</v>
      </c>
      <c r="M43">
        <v>0</v>
      </c>
      <c r="O43">
        <v>276</v>
      </c>
      <c r="P43">
        <v>282</v>
      </c>
      <c r="Q43">
        <v>0</v>
      </c>
      <c r="R43">
        <v>0</v>
      </c>
      <c r="T43">
        <f t="shared" si="1"/>
        <v>3</v>
      </c>
      <c r="U43">
        <f t="shared" si="1"/>
        <v>5</v>
      </c>
      <c r="V43">
        <f t="shared" si="1"/>
        <v>0</v>
      </c>
      <c r="W43">
        <f t="shared" si="1"/>
        <v>0</v>
      </c>
      <c r="Y43">
        <f t="shared" si="2"/>
        <v>8</v>
      </c>
      <c r="Z43" s="5">
        <f t="shared" si="3"/>
        <v>1.3333333333333333</v>
      </c>
    </row>
    <row r="44" spans="1:26">
      <c r="A44" s="3">
        <v>43</v>
      </c>
      <c r="B44" s="4">
        <v>10</v>
      </c>
      <c r="C44" s="4">
        <v>2</v>
      </c>
      <c r="D44" s="4"/>
      <c r="E44" s="4"/>
      <c r="F44" s="4">
        <f t="shared" si="0"/>
        <v>12</v>
      </c>
      <c r="J44">
        <v>187</v>
      </c>
      <c r="K44">
        <v>174</v>
      </c>
      <c r="L44">
        <v>0</v>
      </c>
      <c r="M44">
        <v>0</v>
      </c>
      <c r="O44">
        <v>196</v>
      </c>
      <c r="P44">
        <v>183</v>
      </c>
      <c r="Q44">
        <v>0</v>
      </c>
      <c r="R44">
        <v>0</v>
      </c>
      <c r="T44">
        <f t="shared" si="1"/>
        <v>9</v>
      </c>
      <c r="U44">
        <f t="shared" si="1"/>
        <v>9</v>
      </c>
      <c r="V44">
        <f t="shared" si="1"/>
        <v>0</v>
      </c>
      <c r="W44">
        <f t="shared" si="1"/>
        <v>0</v>
      </c>
      <c r="Y44">
        <f t="shared" si="2"/>
        <v>18</v>
      </c>
      <c r="Z44" s="5">
        <f t="shared" si="3"/>
        <v>1.5</v>
      </c>
    </row>
    <row r="45" spans="1:26">
      <c r="A45" s="3">
        <v>44</v>
      </c>
      <c r="B45" s="4">
        <v>10</v>
      </c>
      <c r="C45" s="4"/>
      <c r="D45" s="4">
        <v>2</v>
      </c>
      <c r="E45" s="4"/>
      <c r="F45" s="4">
        <f t="shared" si="0"/>
        <v>12</v>
      </c>
      <c r="J45">
        <v>102</v>
      </c>
      <c r="K45">
        <v>101</v>
      </c>
      <c r="L45">
        <v>12</v>
      </c>
      <c r="M45">
        <v>26</v>
      </c>
      <c r="O45">
        <v>102</v>
      </c>
      <c r="P45">
        <v>103</v>
      </c>
      <c r="Q45">
        <v>13</v>
      </c>
      <c r="R45">
        <v>25</v>
      </c>
      <c r="T45">
        <f t="shared" si="1"/>
        <v>0</v>
      </c>
      <c r="U45">
        <f t="shared" si="1"/>
        <v>2</v>
      </c>
      <c r="V45">
        <f t="shared" si="1"/>
        <v>1</v>
      </c>
      <c r="W45">
        <f t="shared" si="1"/>
        <v>-1</v>
      </c>
      <c r="Y45">
        <f t="shared" si="2"/>
        <v>2</v>
      </c>
      <c r="Z45" s="5">
        <f t="shared" si="3"/>
        <v>0.16666666666666666</v>
      </c>
    </row>
    <row r="46" spans="1:26">
      <c r="A46" s="3">
        <v>45</v>
      </c>
      <c r="B46" s="4">
        <v>9</v>
      </c>
      <c r="C46" s="4">
        <v>3</v>
      </c>
      <c r="D46" s="4"/>
      <c r="E46" s="4"/>
      <c r="F46" s="4">
        <f t="shared" si="0"/>
        <v>12</v>
      </c>
      <c r="J46">
        <v>160</v>
      </c>
      <c r="K46">
        <v>163</v>
      </c>
      <c r="L46">
        <v>0</v>
      </c>
      <c r="M46">
        <v>0</v>
      </c>
      <c r="O46">
        <v>172</v>
      </c>
      <c r="P46">
        <v>175</v>
      </c>
      <c r="Q46">
        <v>0</v>
      </c>
      <c r="R46">
        <v>0</v>
      </c>
      <c r="T46">
        <f t="shared" si="1"/>
        <v>12</v>
      </c>
      <c r="U46">
        <f t="shared" si="1"/>
        <v>12</v>
      </c>
      <c r="V46">
        <f t="shared" si="1"/>
        <v>0</v>
      </c>
      <c r="W46">
        <f t="shared" si="1"/>
        <v>0</v>
      </c>
      <c r="Y46">
        <f t="shared" si="2"/>
        <v>24</v>
      </c>
      <c r="Z46" s="5">
        <f t="shared" si="3"/>
        <v>2</v>
      </c>
    </row>
    <row r="47" spans="1:26">
      <c r="A47" s="3">
        <v>46</v>
      </c>
      <c r="B47" s="4"/>
      <c r="C47" s="4"/>
      <c r="D47" s="4"/>
      <c r="E47" s="4"/>
      <c r="F47" s="4">
        <f t="shared" si="0"/>
        <v>0</v>
      </c>
      <c r="J47">
        <v>77</v>
      </c>
      <c r="K47">
        <v>72</v>
      </c>
      <c r="L47">
        <v>0</v>
      </c>
      <c r="M47">
        <v>0</v>
      </c>
      <c r="O47">
        <v>77</v>
      </c>
      <c r="P47">
        <v>72</v>
      </c>
      <c r="Q47">
        <v>0</v>
      </c>
      <c r="R47">
        <v>0</v>
      </c>
      <c r="T47">
        <f t="shared" si="1"/>
        <v>0</v>
      </c>
      <c r="U47">
        <f t="shared" si="1"/>
        <v>0</v>
      </c>
      <c r="V47">
        <f t="shared" si="1"/>
        <v>0</v>
      </c>
      <c r="W47">
        <f t="shared" si="1"/>
        <v>0</v>
      </c>
      <c r="Y47">
        <f t="shared" si="2"/>
        <v>0</v>
      </c>
      <c r="Z47" s="5"/>
    </row>
    <row r="48" spans="1:26">
      <c r="A48" s="3">
        <v>47</v>
      </c>
      <c r="B48" s="4">
        <v>10</v>
      </c>
      <c r="C48" s="4">
        <v>2</v>
      </c>
      <c r="D48" s="4"/>
      <c r="E48" s="4"/>
      <c r="F48" s="4">
        <f t="shared" si="0"/>
        <v>12</v>
      </c>
      <c r="J48">
        <v>173</v>
      </c>
      <c r="K48">
        <v>164</v>
      </c>
      <c r="L48">
        <v>0</v>
      </c>
      <c r="M48">
        <v>0</v>
      </c>
      <c r="O48">
        <v>186</v>
      </c>
      <c r="P48">
        <v>177</v>
      </c>
      <c r="Q48">
        <v>0</v>
      </c>
      <c r="R48">
        <v>0</v>
      </c>
      <c r="T48">
        <f t="shared" si="1"/>
        <v>13</v>
      </c>
      <c r="U48">
        <f t="shared" si="1"/>
        <v>13</v>
      </c>
      <c r="V48">
        <f t="shared" si="1"/>
        <v>0</v>
      </c>
      <c r="W48">
        <f t="shared" si="1"/>
        <v>0</v>
      </c>
      <c r="Y48">
        <f t="shared" si="2"/>
        <v>26</v>
      </c>
      <c r="Z48" s="5">
        <f>Y48/F48</f>
        <v>2.1666666666666665</v>
      </c>
    </row>
    <row r="49" spans="1:26">
      <c r="A49" s="3">
        <v>48</v>
      </c>
      <c r="B49" s="4">
        <v>10</v>
      </c>
      <c r="C49" s="4">
        <v>1</v>
      </c>
      <c r="D49" s="4">
        <v>1</v>
      </c>
      <c r="E49" s="4"/>
      <c r="F49" s="4">
        <f t="shared" si="0"/>
        <v>12</v>
      </c>
      <c r="J49">
        <v>104</v>
      </c>
      <c r="K49">
        <v>92</v>
      </c>
      <c r="L49">
        <v>7</v>
      </c>
      <c r="M49">
        <v>11</v>
      </c>
      <c r="O49">
        <v>109</v>
      </c>
      <c r="P49">
        <v>97</v>
      </c>
      <c r="Q49">
        <v>7</v>
      </c>
      <c r="R49">
        <v>10</v>
      </c>
      <c r="T49">
        <f t="shared" si="1"/>
        <v>5</v>
      </c>
      <c r="U49">
        <f t="shared" si="1"/>
        <v>5</v>
      </c>
      <c r="V49">
        <f t="shared" si="1"/>
        <v>0</v>
      </c>
      <c r="W49">
        <f t="shared" si="1"/>
        <v>-1</v>
      </c>
      <c r="Y49">
        <f t="shared" si="2"/>
        <v>9</v>
      </c>
      <c r="Z49" s="5">
        <f>Y49/F49</f>
        <v>0.75</v>
      </c>
    </row>
    <row r="50" spans="1:26">
      <c r="A50" s="3">
        <v>49</v>
      </c>
      <c r="B50" s="4">
        <v>14</v>
      </c>
      <c r="C50" s="4">
        <v>2</v>
      </c>
      <c r="D50" s="4"/>
      <c r="E50" s="4"/>
      <c r="F50" s="4">
        <f t="shared" si="0"/>
        <v>16</v>
      </c>
      <c r="J50">
        <v>165</v>
      </c>
      <c r="K50">
        <v>177</v>
      </c>
      <c r="L50">
        <v>8</v>
      </c>
      <c r="M50">
        <v>9</v>
      </c>
      <c r="O50">
        <v>179</v>
      </c>
      <c r="P50">
        <v>181</v>
      </c>
      <c r="Q50">
        <v>8</v>
      </c>
      <c r="R50">
        <v>9</v>
      </c>
      <c r="T50">
        <f t="shared" si="1"/>
        <v>14</v>
      </c>
      <c r="U50">
        <f t="shared" si="1"/>
        <v>4</v>
      </c>
      <c r="V50">
        <f t="shared" si="1"/>
        <v>0</v>
      </c>
      <c r="W50">
        <f t="shared" si="1"/>
        <v>0</v>
      </c>
      <c r="Y50">
        <f t="shared" si="2"/>
        <v>18</v>
      </c>
      <c r="Z50" s="5">
        <f>Y50/F50</f>
        <v>1.125</v>
      </c>
    </row>
    <row r="51" spans="1:26">
      <c r="A51" s="3">
        <v>50</v>
      </c>
      <c r="B51" s="4">
        <v>14</v>
      </c>
      <c r="C51" s="4">
        <v>1</v>
      </c>
      <c r="D51" s="4">
        <v>1</v>
      </c>
      <c r="E51" s="4"/>
      <c r="F51" s="4">
        <f t="shared" si="0"/>
        <v>16</v>
      </c>
      <c r="Z51" s="5"/>
    </row>
    <row r="52" spans="1:26">
      <c r="A52" s="3">
        <v>51</v>
      </c>
      <c r="B52" s="4">
        <v>14</v>
      </c>
      <c r="C52" s="4">
        <v>2</v>
      </c>
      <c r="D52" s="4"/>
      <c r="E52" s="4"/>
      <c r="F52" s="4">
        <f t="shared" si="0"/>
        <v>16</v>
      </c>
      <c r="Z52" s="5"/>
    </row>
    <row r="53" spans="1:26">
      <c r="A53" s="3">
        <v>52</v>
      </c>
      <c r="B53" s="4">
        <v>11</v>
      </c>
      <c r="C53" s="4">
        <v>1</v>
      </c>
      <c r="D53" s="4">
        <v>1</v>
      </c>
      <c r="E53" s="4"/>
      <c r="F53" s="4">
        <f t="shared" si="0"/>
        <v>13</v>
      </c>
      <c r="Z53" s="5"/>
    </row>
    <row r="54" spans="1:26">
      <c r="A54" s="3">
        <v>53</v>
      </c>
      <c r="B54" s="4">
        <v>13</v>
      </c>
      <c r="C54" s="4">
        <v>1</v>
      </c>
      <c r="D54" s="4"/>
      <c r="E54" s="4"/>
      <c r="F54" s="4">
        <f t="shared" si="0"/>
        <v>14</v>
      </c>
      <c r="Z54" s="5"/>
    </row>
    <row r="55" spans="1:26">
      <c r="A55" s="3">
        <v>54</v>
      </c>
      <c r="B55" s="4">
        <v>14</v>
      </c>
      <c r="C55" s="4">
        <v>2</v>
      </c>
      <c r="D55" s="4"/>
      <c r="E55" s="4"/>
      <c r="F55" s="4">
        <f t="shared" si="0"/>
        <v>16</v>
      </c>
      <c r="Z55" s="5"/>
    </row>
    <row r="56" spans="1:26">
      <c r="A56" s="3">
        <v>55</v>
      </c>
      <c r="B56" s="4">
        <v>13</v>
      </c>
      <c r="C56" s="4">
        <v>2</v>
      </c>
      <c r="D56" s="4">
        <v>1</v>
      </c>
      <c r="E56" s="4"/>
      <c r="F56" s="4">
        <f t="shared" si="0"/>
        <v>16</v>
      </c>
      <c r="Z56" s="5"/>
    </row>
    <row r="57" spans="1:26">
      <c r="A57" s="3">
        <v>56</v>
      </c>
      <c r="B57" s="4">
        <v>11</v>
      </c>
      <c r="C57" s="4">
        <v>0</v>
      </c>
      <c r="D57" s="4">
        <v>0</v>
      </c>
      <c r="E57" s="4"/>
      <c r="F57" s="4">
        <f t="shared" si="0"/>
        <v>11</v>
      </c>
      <c r="Z57" s="5"/>
    </row>
    <row r="58" spans="1:26">
      <c r="A58" s="3">
        <v>57</v>
      </c>
      <c r="B58" s="4">
        <v>9</v>
      </c>
      <c r="C58" s="4">
        <v>2</v>
      </c>
      <c r="D58" s="4">
        <v>1</v>
      </c>
      <c r="E58" s="4"/>
      <c r="F58" s="4">
        <f t="shared" si="0"/>
        <v>12</v>
      </c>
      <c r="Z58" s="5"/>
    </row>
    <row r="59" spans="1:26">
      <c r="A59" s="3">
        <v>58</v>
      </c>
      <c r="B59" s="4">
        <v>13</v>
      </c>
      <c r="C59" s="4">
        <v>2</v>
      </c>
      <c r="D59" s="4">
        <v>1</v>
      </c>
      <c r="E59" s="4"/>
      <c r="F59" s="4">
        <f t="shared" si="0"/>
        <v>16</v>
      </c>
      <c r="Z59" s="5"/>
    </row>
    <row r="60" spans="1:26">
      <c r="A60" s="3">
        <v>59</v>
      </c>
      <c r="B60" s="4">
        <v>12</v>
      </c>
      <c r="C60" s="4">
        <v>2</v>
      </c>
      <c r="D60" s="4">
        <v>2</v>
      </c>
      <c r="E60" s="4"/>
      <c r="F60" s="4">
        <f t="shared" si="0"/>
        <v>16</v>
      </c>
      <c r="Z60" s="5"/>
    </row>
    <row r="61" spans="1:26">
      <c r="A61" s="3">
        <v>60</v>
      </c>
      <c r="B61" s="4">
        <v>10</v>
      </c>
      <c r="C61" s="4">
        <v>2</v>
      </c>
      <c r="D61" s="4">
        <v>1</v>
      </c>
      <c r="E61" s="4"/>
      <c r="F61" s="4">
        <f t="shared" si="0"/>
        <v>13</v>
      </c>
      <c r="Z61" s="5"/>
    </row>
    <row r="62" spans="1:26">
      <c r="A62" s="3">
        <v>61</v>
      </c>
      <c r="B62" s="4">
        <v>12</v>
      </c>
      <c r="C62" s="4">
        <v>2</v>
      </c>
      <c r="D62" s="4">
        <v>2</v>
      </c>
      <c r="E62" s="4"/>
      <c r="F62" s="4">
        <f t="shared" si="0"/>
        <v>16</v>
      </c>
      <c r="Z62" s="5"/>
    </row>
    <row r="63" spans="1:26">
      <c r="A63" s="3">
        <v>62</v>
      </c>
      <c r="B63" s="4">
        <v>14</v>
      </c>
      <c r="C63" s="4">
        <v>0</v>
      </c>
      <c r="D63" s="4">
        <v>1</v>
      </c>
      <c r="E63" s="4">
        <v>1</v>
      </c>
      <c r="F63" s="4">
        <f t="shared" ref="F63:F83" si="4">SUM(B63:E63)</f>
        <v>16</v>
      </c>
      <c r="Z63" s="5"/>
    </row>
    <row r="64" spans="1:26">
      <c r="A64" s="3">
        <v>63</v>
      </c>
      <c r="B64" s="4">
        <v>8</v>
      </c>
      <c r="C64" s="4">
        <v>2</v>
      </c>
      <c r="D64" s="4">
        <v>2</v>
      </c>
      <c r="E64" s="4">
        <v>3</v>
      </c>
      <c r="F64" s="4">
        <f t="shared" si="4"/>
        <v>15</v>
      </c>
      <c r="Z64" s="5"/>
    </row>
    <row r="65" spans="1:26">
      <c r="A65" s="3">
        <v>64</v>
      </c>
      <c r="B65" s="4">
        <v>13</v>
      </c>
      <c r="C65" s="4">
        <v>0</v>
      </c>
      <c r="D65" s="4">
        <v>1</v>
      </c>
      <c r="E65" s="4">
        <v>2</v>
      </c>
      <c r="F65" s="4">
        <f t="shared" si="4"/>
        <v>16</v>
      </c>
      <c r="Z65" s="5"/>
    </row>
    <row r="66" spans="1:26">
      <c r="A66" s="3">
        <v>65</v>
      </c>
      <c r="B66" s="4">
        <v>12</v>
      </c>
      <c r="C66" s="4">
        <v>2</v>
      </c>
      <c r="D66" s="4">
        <v>2</v>
      </c>
      <c r="E66" s="4"/>
      <c r="F66" s="4">
        <f t="shared" si="4"/>
        <v>16</v>
      </c>
      <c r="Z66" s="5"/>
    </row>
    <row r="67" spans="1:26">
      <c r="A67" s="3">
        <v>66</v>
      </c>
      <c r="B67" s="4">
        <v>13</v>
      </c>
      <c r="C67" s="4">
        <v>2</v>
      </c>
      <c r="D67" s="4">
        <v>1</v>
      </c>
      <c r="E67" s="4"/>
      <c r="F67" s="4">
        <f t="shared" si="4"/>
        <v>16</v>
      </c>
      <c r="Z67" s="5"/>
    </row>
    <row r="68" spans="1:26">
      <c r="A68" s="3">
        <v>67</v>
      </c>
      <c r="B68" s="4">
        <v>7</v>
      </c>
      <c r="C68" s="4">
        <v>1</v>
      </c>
      <c r="D68" s="4">
        <v>1</v>
      </c>
      <c r="E68" s="4"/>
      <c r="F68" s="4">
        <f t="shared" si="4"/>
        <v>9</v>
      </c>
      <c r="Z68" s="5"/>
    </row>
    <row r="69" spans="1:26">
      <c r="A69" s="3">
        <v>68</v>
      </c>
      <c r="B69" s="4">
        <v>11</v>
      </c>
      <c r="C69" s="4">
        <v>0</v>
      </c>
      <c r="D69" s="4">
        <v>1</v>
      </c>
      <c r="E69" s="4"/>
      <c r="F69" s="4">
        <f t="shared" si="4"/>
        <v>12</v>
      </c>
      <c r="Z69" s="5"/>
    </row>
    <row r="70" spans="1:26">
      <c r="A70" s="3">
        <v>69</v>
      </c>
      <c r="B70" s="4">
        <v>12</v>
      </c>
      <c r="C70" s="4">
        <v>2</v>
      </c>
      <c r="D70" s="4">
        <v>2</v>
      </c>
      <c r="E70" s="4"/>
      <c r="F70" s="4">
        <f t="shared" si="4"/>
        <v>16</v>
      </c>
      <c r="Z70" s="5"/>
    </row>
    <row r="71" spans="1:26">
      <c r="A71" s="3">
        <v>70</v>
      </c>
      <c r="B71" s="4">
        <v>12</v>
      </c>
      <c r="C71" s="4">
        <v>2</v>
      </c>
      <c r="D71" s="4">
        <v>2</v>
      </c>
      <c r="E71" s="4"/>
      <c r="F71" s="4">
        <f t="shared" si="4"/>
        <v>16</v>
      </c>
      <c r="Z71" s="5"/>
    </row>
    <row r="72" spans="1:26">
      <c r="A72" s="3">
        <v>71</v>
      </c>
      <c r="B72" s="4">
        <v>11</v>
      </c>
      <c r="C72" s="4">
        <v>0</v>
      </c>
      <c r="D72" s="4">
        <v>1</v>
      </c>
      <c r="E72" s="4"/>
      <c r="F72" s="4">
        <f t="shared" si="4"/>
        <v>12</v>
      </c>
      <c r="Z72" s="5"/>
    </row>
    <row r="73" spans="1:26">
      <c r="A73" s="3">
        <v>72</v>
      </c>
      <c r="B73" s="4">
        <v>9</v>
      </c>
      <c r="C73" s="4">
        <v>2</v>
      </c>
      <c r="D73" s="4">
        <v>1</v>
      </c>
      <c r="E73" s="4"/>
      <c r="F73" s="4">
        <f t="shared" si="4"/>
        <v>12</v>
      </c>
      <c r="Z73" s="5"/>
    </row>
    <row r="74" spans="1:26">
      <c r="A74" s="3">
        <v>73</v>
      </c>
      <c r="B74" s="4">
        <v>7</v>
      </c>
      <c r="C74" s="4">
        <v>0</v>
      </c>
      <c r="D74" s="4">
        <v>1</v>
      </c>
      <c r="E74" s="4"/>
      <c r="F74" s="4">
        <f t="shared" si="4"/>
        <v>8</v>
      </c>
      <c r="Z74" s="5"/>
    </row>
    <row r="75" spans="1:26">
      <c r="A75" s="3">
        <v>74</v>
      </c>
      <c r="B75" s="4">
        <v>5</v>
      </c>
      <c r="C75" s="4">
        <v>2</v>
      </c>
      <c r="D75" s="4">
        <v>1</v>
      </c>
      <c r="E75" s="4"/>
      <c r="F75" s="4">
        <f t="shared" si="4"/>
        <v>8</v>
      </c>
      <c r="Z75" s="5"/>
    </row>
    <row r="76" spans="1:26">
      <c r="A76" s="3">
        <v>75</v>
      </c>
      <c r="B76" s="4">
        <v>15</v>
      </c>
      <c r="C76" s="4">
        <v>0</v>
      </c>
      <c r="D76" s="4">
        <v>1</v>
      </c>
      <c r="E76" s="4"/>
      <c r="F76" s="4">
        <f t="shared" si="4"/>
        <v>16</v>
      </c>
      <c r="Z76" s="5"/>
    </row>
    <row r="77" spans="1:26">
      <c r="A77" s="3">
        <v>76</v>
      </c>
      <c r="B77">
        <v>12</v>
      </c>
      <c r="C77">
        <v>2</v>
      </c>
      <c r="D77">
        <v>2</v>
      </c>
      <c r="E77" s="4"/>
      <c r="F77" s="4">
        <f t="shared" si="4"/>
        <v>16</v>
      </c>
      <c r="Z77" s="5"/>
    </row>
    <row r="78" spans="1:26">
      <c r="A78" s="3">
        <v>77</v>
      </c>
      <c r="B78" s="4">
        <f>19</f>
        <v>19</v>
      </c>
      <c r="C78" s="4">
        <f>0</f>
        <v>0</v>
      </c>
      <c r="D78" s="4">
        <f>1</f>
        <v>1</v>
      </c>
      <c r="E78" s="4"/>
      <c r="F78" s="4">
        <f t="shared" si="4"/>
        <v>20</v>
      </c>
      <c r="Z78" s="5"/>
    </row>
    <row r="79" spans="1:26">
      <c r="A79" s="3">
        <v>78</v>
      </c>
      <c r="B79" s="4"/>
      <c r="C79" s="4"/>
      <c r="D79" s="4"/>
      <c r="E79" s="4"/>
      <c r="F79" s="4">
        <f t="shared" si="4"/>
        <v>0</v>
      </c>
      <c r="Z79" s="5"/>
    </row>
    <row r="80" spans="1:26">
      <c r="A80" s="3">
        <v>79</v>
      </c>
      <c r="B80" s="4"/>
      <c r="C80" s="4"/>
      <c r="D80" s="4"/>
      <c r="E80" s="4"/>
      <c r="F80" s="4">
        <f t="shared" si="4"/>
        <v>0</v>
      </c>
      <c r="Z80" s="5"/>
    </row>
    <row r="81" spans="1:26">
      <c r="A81" s="3">
        <v>80</v>
      </c>
      <c r="B81" s="4"/>
      <c r="C81" s="4"/>
      <c r="D81" s="4"/>
      <c r="E81" s="4"/>
      <c r="F81" s="4">
        <f t="shared" si="4"/>
        <v>0</v>
      </c>
      <c r="Z81" s="5"/>
    </row>
    <row r="82" spans="1:26">
      <c r="A82" s="3">
        <v>81</v>
      </c>
      <c r="B82" s="4"/>
      <c r="C82" s="4"/>
      <c r="D82" s="4"/>
      <c r="E82" s="4"/>
      <c r="F82" s="4">
        <f t="shared" si="4"/>
        <v>0</v>
      </c>
      <c r="Z82" s="5"/>
    </row>
    <row r="83" spans="1:26">
      <c r="A83" s="3">
        <v>82</v>
      </c>
      <c r="B83" s="4"/>
      <c r="C83" s="4"/>
      <c r="D83" s="4"/>
      <c r="E83" s="4"/>
      <c r="F83" s="4">
        <f t="shared" si="4"/>
        <v>0</v>
      </c>
      <c r="Z83" s="5"/>
    </row>
    <row r="84" spans="1:26">
      <c r="A84" s="3"/>
      <c r="B84" s="4"/>
      <c r="C84" s="4"/>
      <c r="D84" s="4"/>
      <c r="E84" s="4"/>
      <c r="F84" s="4"/>
      <c r="Z84" s="5"/>
    </row>
    <row r="85" spans="1:26">
      <c r="Z85" s="5"/>
    </row>
    <row r="86" spans="1:26">
      <c r="A86" t="s">
        <v>139</v>
      </c>
      <c r="B86">
        <f>SUM(B2:B83)</f>
        <v>607</v>
      </c>
      <c r="C86">
        <f>SUM(C2:C83)</f>
        <v>106</v>
      </c>
      <c r="D86">
        <f>SUM(D2:D83)</f>
        <v>38</v>
      </c>
      <c r="E86">
        <f>SUM(E2:E83)</f>
        <v>6</v>
      </c>
      <c r="F86">
        <f>SUM(F2:F83)</f>
        <v>757</v>
      </c>
      <c r="Z86" s="5"/>
    </row>
    <row r="87" spans="1:26">
      <c r="B87" s="5">
        <f>B86/F86</f>
        <v>0.8018494055482166</v>
      </c>
      <c r="C87" s="5">
        <f>C86/F86</f>
        <v>0.14002642007926025</v>
      </c>
      <c r="D87" s="5">
        <f>D86/F86</f>
        <v>5.0198150594451783E-2</v>
      </c>
      <c r="E87" s="5">
        <f>E86/F86</f>
        <v>7.9260237780713338E-3</v>
      </c>
      <c r="Z87" s="5"/>
    </row>
    <row r="88" spans="1:26">
      <c r="Z88" s="5"/>
    </row>
    <row r="89" spans="1:26">
      <c r="A89" t="s">
        <v>140</v>
      </c>
      <c r="B89">
        <f>SUM(B37:B83)</f>
        <v>453</v>
      </c>
      <c r="C89">
        <f>SUM(C37:C83)</f>
        <v>57</v>
      </c>
      <c r="D89">
        <f>SUM(D37:D83)</f>
        <v>37</v>
      </c>
      <c r="E89">
        <f>SUM(E37:E83)</f>
        <v>6</v>
      </c>
      <c r="F89">
        <f>SUM(F37:F83)</f>
        <v>553</v>
      </c>
      <c r="Z89" s="5"/>
    </row>
    <row r="90" spans="1:26">
      <c r="B90" s="5">
        <f>B89/F89</f>
        <v>0.81916817359855332</v>
      </c>
      <c r="C90" s="5">
        <f>C89/F89</f>
        <v>0.10307414104882459</v>
      </c>
      <c r="D90" s="5">
        <f>D89/F89</f>
        <v>6.6907775768535266E-2</v>
      </c>
      <c r="E90" s="5">
        <f>E89/F89</f>
        <v>1.0849909584086799E-2</v>
      </c>
      <c r="Z90" s="5"/>
    </row>
    <row r="91" spans="1:26">
      <c r="Z91" s="5"/>
    </row>
    <row r="92" spans="1:26">
      <c r="A92" t="s">
        <v>141</v>
      </c>
      <c r="B92">
        <f>SUM(B58:B83)</f>
        <v>236</v>
      </c>
      <c r="C92">
        <f>SUM(C58:C83)</f>
        <v>27</v>
      </c>
      <c r="D92">
        <f>SUM(D58:D83)</f>
        <v>28</v>
      </c>
      <c r="E92">
        <f>SUM(E58:E83)</f>
        <v>6</v>
      </c>
      <c r="F92">
        <f>SUM(F58:F83)</f>
        <v>297</v>
      </c>
      <c r="Z92" s="5"/>
    </row>
    <row r="93" spans="1:26">
      <c r="B93" s="5">
        <f>B92/F92</f>
        <v>0.79461279461279466</v>
      </c>
      <c r="C93" s="5">
        <f>C92/F92</f>
        <v>9.0909090909090912E-2</v>
      </c>
      <c r="D93" s="5">
        <f>D92/F92</f>
        <v>9.4276094276094277E-2</v>
      </c>
      <c r="E93" s="5">
        <f>E92/F92</f>
        <v>2.0202020202020204E-2</v>
      </c>
      <c r="Y93">
        <f>SUM(Y37:Y50)</f>
        <v>237</v>
      </c>
      <c r="Z93" s="5">
        <f>Y93/SUM(F37:F50)</f>
        <v>1.5389610389610389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Riu</dc:creator>
  <cp:lastModifiedBy>ian thomas</cp:lastModifiedBy>
  <dcterms:created xsi:type="dcterms:W3CDTF">2023-10-19T11:54:49Z</dcterms:created>
  <dcterms:modified xsi:type="dcterms:W3CDTF">2026-05-15T10:04:06Z</dcterms:modified>
</cp:coreProperties>
</file>