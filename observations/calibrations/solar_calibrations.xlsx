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A2A43ABF-C57A-4DB0-B64C-9CA8E45701C3}" xr6:coauthVersionLast="47" xr6:coauthVersionMax="47" xr10:uidLastSave="{00000000-0000-0000-0000-000000000000}"/>
  <bookViews>
    <workbookView xWindow="0" yWindow="1296" windowWidth="23040" windowHeight="12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B147" i="1"/>
  <c r="L147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<sst xmlns="http://schemas.openxmlformats.org/spreadsheetml/2006/main" count="235" uniqueCount="49">
  <si>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</si>
  <si>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</si>
  <si>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</si>
  <si>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</si>
  <si>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</si>
  <si>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</si>
  <si>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</si>
  <si>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</si>
  <si>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</si>
  <si>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</si>
  <si>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</si>
  <si>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</si>
  <si>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</si>
  <si>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</si>
  <si>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</si>
  <si>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</si>
  <si>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</si>
  <si>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</si>
  <si>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</si>
  <si>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</si>
  <si>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</si>
  <si>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</si>
  <si>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</si>
  <si>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</si>
  <si>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</si>
  <si>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</si>
  <si>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</si>
  <si>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</si>
  <si>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</si>
  <si>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</si>
  <si>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</si>
  <si>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</si>
  <si>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</si>
  <si>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</si>
  <si>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</si>
  <si>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</si>
  <si>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</si>
  <si>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</si>
  <si>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</si>
  <si>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</si>
  <si>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</si>
  <si>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</si>
  <si>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</si>
  <si>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</si>
  <si>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</si>
  <si>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</si>
  <si>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</si>
  <si>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RUN SOME LOW ORDERS</t>
  </si>
  <si>
    <t>MTP021+ COP 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</si>
</sst>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0" fillId="2" borderId="5" xfId="0" applyFill="1" applyBorder="1"/>
    <xf numFmtId="0" fontId="3" fillId="2" borderId="5" xfId="0" applyFont="1" applyFill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47"/>
  <sheetViews>
    <sheetView tabSelected="1" topLeftCell="A26" zoomScale="85" zoomScaleNormal="85" workbookViewId="0">
      <selection activeCell="E36" sqref="E36"/>
    </sheetView>
  </sheetViews>
  <sheetFormatPr defaultRowHeight="14.4" x14ac:dyDescent="0.3"/>
  <cols>
    <col min="1" max="1" width="2.5546875" bestFit="1" customWidth="1"/>
    <col min="2" max="2" width="16.6640625" customWidth="1"/>
    <col min="3" max="3" width="12.109375" bestFit="1" customWidth="1"/>
    <col min="4" max="4" width="20.109375" customWidth="1"/>
    <col min="5" max="5" width="21.6640625" customWidth="1"/>
    <col min="12" max="12" width="16.88671875" customWidth="1"/>
    <col min="13" max="13" width="12.109375" bestFit="1" customWidth="1"/>
    <col min="14" max="14" width="21" bestFit="1" customWidth="1"/>
    <col min="15" max="15" width="21.33203125" customWidth="1"/>
    <col min="23" max="23" width="20.33203125" bestFit="1" customWidth="1"/>
    <col min="24" max="24" width="9.88671875" bestFit="1" customWidth="1"/>
    <col min="25" max="25" width="11" customWidth="1"/>
  </cols>
  <sheetData>
    <row r="1" spans="2:31" x14ac:dyDescent="0.3">
      <c r="B1" s="1"/>
      <c r="C1" s="1"/>
      <c r="D1" s="1"/>
      <c r="E1" s="1"/>
      <c r="F1" s="1"/>
      <c r="G1" s="1"/>
    </row>
    <row r="2" spans="2:31" ht="18" x14ac:dyDescent="0.35">
      <c r="W2" s="14" t="s">
        <v>23</v>
      </c>
    </row>
    <row r="3" spans="2:31" ht="18" x14ac:dyDescent="0.35">
      <c r="B3" s="14" t="s">
        <v>3</v>
      </c>
      <c r="D3" s="1"/>
      <c r="E3" s="1"/>
      <c r="W3" s="27" t="s">
        <v>18</v>
      </c>
      <c r="Y3" t="s">
        <v>17</v>
      </c>
    </row>
    <row r="4" spans="2:31" x14ac:dyDescent="0.3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3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AE5" s="4"/>
    </row>
    <row r="6" spans="2:31" x14ac:dyDescent="0.3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" x14ac:dyDescent="0.35">
      <c r="B9" s="14" t="s">
        <v>24</v>
      </c>
      <c r="D9" s="1"/>
      <c r="E9" s="1"/>
    </row>
    <row r="10" spans="2:31" x14ac:dyDescent="0.3">
      <c r="C10" s="13" t="s">
        <v>12</v>
      </c>
      <c r="D10" s="13" t="s">
        <v>26</v>
      </c>
      <c r="E10" s="9" t="s">
        <v>27</v>
      </c>
      <c r="F10" s="88" t="s">
        <v>5</v>
      </c>
      <c r="G10" s="89"/>
      <c r="H10" s="89"/>
      <c r="I10" s="89"/>
      <c r="J10" s="89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3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3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3">
      <c r="C13" t="s">
        <v>28</v>
      </c>
    </row>
    <row r="15" spans="2:31" ht="18" x14ac:dyDescent="0.35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3">
      <c r="AC16" t="s">
        <v>37</v>
      </c>
    </row>
    <row r="17" spans="1:31" x14ac:dyDescent="0.3">
      <c r="B17" s="9" t="s">
        <v>1</v>
      </c>
      <c r="C17" s="13"/>
      <c r="D17" s="9"/>
      <c r="E17" s="9"/>
      <c r="F17" s="90" t="s">
        <v>5</v>
      </c>
      <c r="G17" s="91"/>
      <c r="H17" s="91"/>
      <c r="I17" s="91"/>
      <c r="J17" s="91"/>
      <c r="L17" s="9" t="s">
        <v>2</v>
      </c>
      <c r="M17" s="13"/>
      <c r="N17" s="9"/>
      <c r="O17" s="9"/>
      <c r="P17" s="90" t="s">
        <v>5</v>
      </c>
      <c r="Q17" s="91"/>
      <c r="R17" s="91"/>
      <c r="S17" s="91"/>
      <c r="T17" s="91"/>
    </row>
    <row r="18" spans="1:31" x14ac:dyDescent="0.3">
      <c r="B18" s="39" t="s">
        <v>10</v>
      </c>
      <c r="C18" s="45" t="s">
        <v>9</v>
      </c>
      <c r="D18" s="63" t="s">
        <v>21</v>
      </c>
      <c r="E18" s="13" t="s">
        <v>48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48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3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38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3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5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3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3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3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3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3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3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3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3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3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3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3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3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3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3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2">
        <v>50</v>
      </c>
      <c r="G34" s="79">
        <v>87</v>
      </c>
      <c r="H34" s="3">
        <v>99</v>
      </c>
      <c r="J34" s="4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3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3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3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3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3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3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3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3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3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3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3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3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3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3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7"/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3">
      <c r="W49" s="5">
        <v>4526.9799999999996</v>
      </c>
      <c r="X49" s="24">
        <v>201</v>
      </c>
      <c r="Y49" s="6"/>
      <c r="Z49" s="8"/>
    </row>
    <row r="50" spans="1:26" ht="18" x14ac:dyDescent="0.35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3">
      <c r="B51" s="1"/>
      <c r="C51" s="1"/>
      <c r="D51" s="1"/>
      <c r="E51" s="1"/>
      <c r="F51" s="1"/>
      <c r="G51" s="1"/>
      <c r="W51" t="s">
        <v>19</v>
      </c>
    </row>
    <row r="52" spans="1:26" x14ac:dyDescent="0.3">
      <c r="B52" s="9" t="s">
        <v>1</v>
      </c>
      <c r="C52" s="13"/>
      <c r="D52" s="9"/>
      <c r="E52" s="9"/>
      <c r="F52" s="90" t="s">
        <v>5</v>
      </c>
      <c r="G52" s="91"/>
      <c r="H52" s="91"/>
      <c r="I52" s="91"/>
      <c r="J52" s="91"/>
      <c r="L52" s="9" t="s">
        <v>2</v>
      </c>
      <c r="M52" s="13"/>
      <c r="N52" s="9"/>
      <c r="O52" s="9"/>
      <c r="P52" s="90" t="s">
        <v>5</v>
      </c>
      <c r="Q52" s="91"/>
      <c r="R52" s="91"/>
      <c r="S52" s="91"/>
      <c r="T52" s="91"/>
    </row>
    <row r="53" spans="1:26" x14ac:dyDescent="0.3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3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3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3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3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3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3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3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3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3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3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3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3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3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3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3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3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3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3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3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3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3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3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3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3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3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3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3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3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3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" x14ac:dyDescent="0.35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3">
      <c r="B85" s="1"/>
      <c r="C85" s="1"/>
      <c r="D85" s="1"/>
      <c r="E85" s="1"/>
      <c r="F85" s="1"/>
      <c r="G85" s="1"/>
    </row>
    <row r="86" spans="1:20" x14ac:dyDescent="0.3">
      <c r="B86" s="9" t="s">
        <v>1</v>
      </c>
      <c r="C86" s="13"/>
      <c r="D86" s="9"/>
      <c r="E86" s="33"/>
      <c r="F86" s="90" t="s">
        <v>5</v>
      </c>
      <c r="G86" s="91"/>
      <c r="H86" s="91"/>
      <c r="I86" s="91"/>
      <c r="J86" s="91"/>
      <c r="L86" s="9" t="s">
        <v>2</v>
      </c>
      <c r="M86" s="13"/>
      <c r="N86" s="9"/>
      <c r="O86" s="33"/>
      <c r="P86" s="90" t="s">
        <v>5</v>
      </c>
      <c r="Q86" s="91"/>
      <c r="R86" s="91"/>
      <c r="S86" s="91"/>
      <c r="T86" s="91"/>
    </row>
    <row r="87" spans="1:20" x14ac:dyDescent="0.3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3">
      <c r="A88">
        <v>4</v>
      </c>
      <c r="B88" s="5">
        <v>119</v>
      </c>
      <c r="C88" s="44">
        <v>386</v>
      </c>
      <c r="D88" s="58">
        <v>370</v>
      </c>
      <c r="E88">
        <v>189</v>
      </c>
      <c r="F88" s="5" t="s">
        <v>47</v>
      </c>
      <c r="J88" s="4"/>
      <c r="L88" s="5">
        <v>119</v>
      </c>
      <c r="M88" s="42">
        <v>419</v>
      </c>
      <c r="N88" s="58">
        <v>403</v>
      </c>
      <c r="O88">
        <v>236</v>
      </c>
      <c r="P88" s="5"/>
      <c r="T88" s="4"/>
    </row>
    <row r="89" spans="1:20" x14ac:dyDescent="0.3">
      <c r="A89">
        <v>4</v>
      </c>
      <c r="B89" s="5">
        <f>B88+3</f>
        <v>122</v>
      </c>
      <c r="C89" s="42">
        <f>C88+2</f>
        <v>388</v>
      </c>
      <c r="D89" s="59">
        <v>371</v>
      </c>
      <c r="E89">
        <v>190</v>
      </c>
      <c r="F89" s="2">
        <v>9</v>
      </c>
      <c r="G89" s="3">
        <v>80</v>
      </c>
      <c r="J89" s="4"/>
      <c r="L89" s="5">
        <f>L88+3</f>
        <v>122</v>
      </c>
      <c r="M89" s="42">
        <f t="shared" ref="M89:M116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3">
      <c r="A90">
        <v>4</v>
      </c>
      <c r="B90" s="29">
        <f t="shared" ref="B90:B116" si="5">B89+3</f>
        <v>125</v>
      </c>
      <c r="C90" s="41">
        <f t="shared" ref="C90:C116" si="6">C89+2</f>
        <v>390</v>
      </c>
      <c r="D90" s="60">
        <v>372</v>
      </c>
      <c r="E90" s="3">
        <v>191</v>
      </c>
      <c r="F90" s="29">
        <v>7</v>
      </c>
      <c r="G90" s="32">
        <v>57</v>
      </c>
      <c r="H90" s="32">
        <v>80</v>
      </c>
      <c r="I90" s="30"/>
      <c r="J90" s="31"/>
      <c r="K90" s="30"/>
      <c r="L90" s="29">
        <f t="shared" ref="L90:L116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3">
      <c r="A91">
        <v>4</v>
      </c>
      <c r="B91" s="35">
        <f t="shared" si="5"/>
        <v>128</v>
      </c>
      <c r="C91" s="74">
        <f t="shared" si="6"/>
        <v>392</v>
      </c>
      <c r="D91" s="75">
        <v>373</v>
      </c>
      <c r="E91" s="73">
        <v>192</v>
      </c>
      <c r="F91" s="2">
        <v>57</v>
      </c>
      <c r="G91" s="79">
        <v>81</v>
      </c>
      <c r="H91" s="3">
        <v>86</v>
      </c>
      <c r="J91" s="4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3">
      <c r="A92">
        <v>4</v>
      </c>
      <c r="B92" s="5">
        <f t="shared" si="5"/>
        <v>131</v>
      </c>
      <c r="C92" s="42">
        <f t="shared" si="6"/>
        <v>394</v>
      </c>
      <c r="D92" s="59">
        <v>374</v>
      </c>
      <c r="E92">
        <v>193</v>
      </c>
      <c r="F92" s="2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3">
      <c r="A93">
        <v>4</v>
      </c>
      <c r="B93" s="5">
        <f t="shared" si="5"/>
        <v>134</v>
      </c>
      <c r="C93" s="42">
        <f t="shared" si="6"/>
        <v>396</v>
      </c>
      <c r="D93" s="59">
        <v>375</v>
      </c>
      <c r="E93">
        <v>194</v>
      </c>
      <c r="F93" s="5"/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3">
      <c r="A94">
        <v>4</v>
      </c>
      <c r="B94" s="5">
        <f t="shared" si="5"/>
        <v>137</v>
      </c>
      <c r="C94" s="42">
        <f t="shared" si="6"/>
        <v>398</v>
      </c>
      <c r="D94" s="59">
        <v>376</v>
      </c>
      <c r="E94">
        <v>195</v>
      </c>
      <c r="F94" s="2">
        <v>9</v>
      </c>
      <c r="G94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3">
      <c r="A95">
        <v>4</v>
      </c>
      <c r="B95" s="80">
        <f t="shared" si="5"/>
        <v>140</v>
      </c>
      <c r="C95" s="77">
        <f t="shared" si="6"/>
        <v>400</v>
      </c>
      <c r="D95" s="78">
        <v>377</v>
      </c>
      <c r="E95" s="79">
        <v>196</v>
      </c>
      <c r="F95" s="29">
        <v>7</v>
      </c>
      <c r="G95" s="32">
        <v>15</v>
      </c>
      <c r="H95" s="30">
        <v>82</v>
      </c>
      <c r="I95" s="30"/>
      <c r="J95" s="31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3">
      <c r="A96">
        <v>4</v>
      </c>
      <c r="B96" s="5">
        <f t="shared" si="5"/>
        <v>143</v>
      </c>
      <c r="C96" s="42">
        <f t="shared" si="6"/>
        <v>402</v>
      </c>
      <c r="D96" s="59">
        <v>378</v>
      </c>
      <c r="E96">
        <v>197</v>
      </c>
      <c r="F96" s="5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3">
      <c r="A97">
        <v>4</v>
      </c>
      <c r="B97" s="80">
        <f t="shared" si="5"/>
        <v>146</v>
      </c>
      <c r="C97" s="77">
        <f t="shared" si="6"/>
        <v>404</v>
      </c>
      <c r="D97" s="78">
        <v>379</v>
      </c>
      <c r="E97" s="79">
        <v>198</v>
      </c>
      <c r="F97" s="29">
        <v>8</v>
      </c>
      <c r="G97" s="32">
        <v>21</v>
      </c>
      <c r="H97" s="30">
        <v>82</v>
      </c>
      <c r="I97" s="30"/>
      <c r="J97" s="31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3">
      <c r="A98">
        <v>4</v>
      </c>
      <c r="B98" s="29">
        <f t="shared" si="5"/>
        <v>149</v>
      </c>
      <c r="C98" s="41">
        <f t="shared" si="6"/>
        <v>406</v>
      </c>
      <c r="D98" s="60">
        <v>380</v>
      </c>
      <c r="E98" s="3">
        <v>199</v>
      </c>
      <c r="F98" s="29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3">
      <c r="A99">
        <v>4</v>
      </c>
      <c r="B99" s="5">
        <f t="shared" si="5"/>
        <v>152</v>
      </c>
      <c r="C99" s="42">
        <f t="shared" si="6"/>
        <v>408</v>
      </c>
      <c r="D99" s="59">
        <v>381</v>
      </c>
      <c r="E99">
        <v>200</v>
      </c>
      <c r="F99" s="64"/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3">
      <c r="A100">
        <v>4</v>
      </c>
      <c r="B100" s="5">
        <f t="shared" si="5"/>
        <v>155</v>
      </c>
      <c r="C100" s="42">
        <f t="shared" si="6"/>
        <v>410</v>
      </c>
      <c r="D100" s="59">
        <v>382</v>
      </c>
      <c r="E100">
        <v>201</v>
      </c>
      <c r="F100" s="5"/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3">
      <c r="A101">
        <v>4</v>
      </c>
      <c r="B101" s="5">
        <f t="shared" si="5"/>
        <v>158</v>
      </c>
      <c r="C101" s="42">
        <f t="shared" si="6"/>
        <v>412</v>
      </c>
      <c r="D101" s="59">
        <v>383</v>
      </c>
      <c r="E101">
        <v>202</v>
      </c>
      <c r="F101" s="2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3">
      <c r="A102">
        <v>4</v>
      </c>
      <c r="B102" s="29">
        <f t="shared" si="5"/>
        <v>161</v>
      </c>
      <c r="C102" s="41">
        <f t="shared" si="6"/>
        <v>414</v>
      </c>
      <c r="D102" s="60">
        <v>384</v>
      </c>
      <c r="E102" s="3">
        <v>203</v>
      </c>
      <c r="F102" s="29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3">
      <c r="A103">
        <v>4</v>
      </c>
      <c r="B103" s="35">
        <f t="shared" si="5"/>
        <v>164</v>
      </c>
      <c r="C103" s="74">
        <f t="shared" si="6"/>
        <v>416</v>
      </c>
      <c r="D103" s="75">
        <v>385</v>
      </c>
      <c r="E103" s="73">
        <v>204</v>
      </c>
      <c r="F103" s="2">
        <v>47</v>
      </c>
      <c r="G103" s="79">
        <v>95</v>
      </c>
      <c r="J103" s="4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3">
      <c r="A104">
        <v>4</v>
      </c>
      <c r="B104" s="81">
        <f t="shared" si="5"/>
        <v>167</v>
      </c>
      <c r="C104" s="77">
        <f t="shared" si="6"/>
        <v>418</v>
      </c>
      <c r="D104" s="75">
        <v>386</v>
      </c>
      <c r="E104" s="73">
        <v>205</v>
      </c>
      <c r="F104" s="2">
        <v>7</v>
      </c>
      <c r="G104" s="3">
        <v>47</v>
      </c>
      <c r="J104" s="4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3">
      <c r="A105">
        <v>4</v>
      </c>
      <c r="B105" s="5">
        <f t="shared" si="5"/>
        <v>170</v>
      </c>
      <c r="C105" s="42">
        <f t="shared" si="6"/>
        <v>420</v>
      </c>
      <c r="D105" s="59">
        <v>387</v>
      </c>
      <c r="E105">
        <v>206</v>
      </c>
      <c r="F105" s="2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3">
      <c r="A106">
        <v>4</v>
      </c>
      <c r="B106" s="5">
        <f t="shared" si="5"/>
        <v>173</v>
      </c>
      <c r="C106" s="42">
        <f t="shared" si="6"/>
        <v>422</v>
      </c>
      <c r="D106" s="59">
        <v>388</v>
      </c>
      <c r="E106">
        <v>207</v>
      </c>
      <c r="F106" s="2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3">
      <c r="A107">
        <v>4</v>
      </c>
      <c r="B107" s="5">
        <f t="shared" si="5"/>
        <v>176</v>
      </c>
      <c r="C107" s="42">
        <f t="shared" si="6"/>
        <v>424</v>
      </c>
      <c r="D107" s="59">
        <v>389</v>
      </c>
      <c r="E107">
        <v>208</v>
      </c>
      <c r="F107" s="2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3">
      <c r="A108">
        <v>4</v>
      </c>
      <c r="B108" s="5">
        <f t="shared" si="5"/>
        <v>179</v>
      </c>
      <c r="C108" s="42">
        <f t="shared" si="6"/>
        <v>426</v>
      </c>
      <c r="D108" s="59">
        <v>390</v>
      </c>
      <c r="E108">
        <v>209</v>
      </c>
      <c r="F108" s="2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3">
      <c r="A109">
        <v>4</v>
      </c>
      <c r="B109" s="5">
        <f t="shared" si="5"/>
        <v>182</v>
      </c>
      <c r="C109" s="42">
        <f t="shared" si="6"/>
        <v>428</v>
      </c>
      <c r="D109" s="59">
        <v>391</v>
      </c>
      <c r="E109">
        <v>210</v>
      </c>
      <c r="F109" s="2">
        <v>27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3">
      <c r="A110">
        <v>4</v>
      </c>
      <c r="B110" s="5">
        <f t="shared" si="5"/>
        <v>185</v>
      </c>
      <c r="C110" s="42">
        <f t="shared" si="6"/>
        <v>430</v>
      </c>
      <c r="D110" s="59">
        <v>392</v>
      </c>
      <c r="E110">
        <v>211</v>
      </c>
      <c r="F110" s="2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3">
      <c r="A111">
        <v>4</v>
      </c>
      <c r="B111" s="35">
        <f t="shared" si="5"/>
        <v>188</v>
      </c>
      <c r="C111" s="74">
        <f t="shared" si="6"/>
        <v>432</v>
      </c>
      <c r="D111" s="75">
        <v>393</v>
      </c>
      <c r="E111" s="73">
        <v>212</v>
      </c>
      <c r="F111" s="2">
        <v>38</v>
      </c>
      <c r="G111" s="3">
        <v>47</v>
      </c>
      <c r="H111" s="3">
        <v>62</v>
      </c>
      <c r="I111" s="3">
        <v>78</v>
      </c>
      <c r="J111" s="4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3">
      <c r="A112">
        <v>4</v>
      </c>
      <c r="B112" s="5">
        <f t="shared" si="5"/>
        <v>191</v>
      </c>
      <c r="C112" s="42">
        <f t="shared" si="6"/>
        <v>434</v>
      </c>
      <c r="D112" s="59">
        <v>394</v>
      </c>
      <c r="E112">
        <v>213</v>
      </c>
      <c r="F112" s="2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3">
      <c r="A113">
        <v>4</v>
      </c>
      <c r="B113" s="80">
        <f t="shared" si="5"/>
        <v>194</v>
      </c>
      <c r="C113" s="77">
        <f t="shared" si="6"/>
        <v>436</v>
      </c>
      <c r="D113" s="78">
        <v>395</v>
      </c>
      <c r="E113" s="79">
        <v>214</v>
      </c>
      <c r="F113" s="29">
        <v>7</v>
      </c>
      <c r="G113" s="32">
        <v>13</v>
      </c>
      <c r="H113" s="32">
        <v>78</v>
      </c>
      <c r="I113" s="30"/>
      <c r="J113" s="31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3">
      <c r="A114">
        <v>4</v>
      </c>
      <c r="B114" s="35">
        <f t="shared" si="5"/>
        <v>197</v>
      </c>
      <c r="C114" s="74">
        <f t="shared" si="6"/>
        <v>438</v>
      </c>
      <c r="D114" s="75">
        <v>396</v>
      </c>
      <c r="E114" s="73">
        <v>215</v>
      </c>
      <c r="F114" s="2">
        <v>8</v>
      </c>
      <c r="G114" s="79">
        <v>78</v>
      </c>
      <c r="J114" s="4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3">
      <c r="A115">
        <v>4</v>
      </c>
      <c r="B115" s="5">
        <f t="shared" si="5"/>
        <v>200</v>
      </c>
      <c r="C115" s="42">
        <f t="shared" si="6"/>
        <v>440</v>
      </c>
      <c r="D115" s="59">
        <v>397</v>
      </c>
      <c r="E115">
        <v>216</v>
      </c>
      <c r="F115" s="2">
        <v>96</v>
      </c>
      <c r="G115" s="3">
        <v>96</v>
      </c>
      <c r="H115" s="3">
        <v>97</v>
      </c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3">
      <c r="A116">
        <v>4</v>
      </c>
      <c r="B116" s="6">
        <f t="shared" si="5"/>
        <v>203</v>
      </c>
      <c r="C116" s="43">
        <f t="shared" si="6"/>
        <v>442</v>
      </c>
      <c r="D116" s="61">
        <v>398</v>
      </c>
      <c r="E116">
        <v>217</v>
      </c>
      <c r="F116" s="69">
        <v>96</v>
      </c>
      <c r="G116" s="18">
        <v>96</v>
      </c>
      <c r="H116" s="18">
        <v>97</v>
      </c>
      <c r="I116" s="7"/>
      <c r="J116" s="8"/>
      <c r="L116" s="6">
        <f t="shared" si="7"/>
        <v>203</v>
      </c>
      <c r="M116" s="43">
        <f t="shared" si="4"/>
        <v>475</v>
      </c>
      <c r="N116" s="61">
        <v>431</v>
      </c>
      <c r="O116">
        <v>264</v>
      </c>
      <c r="P116" s="6"/>
      <c r="Q116" s="7"/>
      <c r="R116" s="7"/>
      <c r="S116" s="7"/>
      <c r="T116" s="8"/>
    </row>
    <row r="118" spans="1:20" ht="18" x14ac:dyDescent="0.35">
      <c r="B118" s="14" t="s">
        <v>0</v>
      </c>
      <c r="C118" s="14" t="s">
        <v>20</v>
      </c>
      <c r="D118" s="14"/>
      <c r="E118" s="1"/>
      <c r="F118" s="1"/>
      <c r="G118" s="1"/>
    </row>
    <row r="119" spans="1:20" x14ac:dyDescent="0.3">
      <c r="B119" s="1"/>
      <c r="C119" s="1"/>
      <c r="D119" s="1"/>
      <c r="E119" s="11"/>
      <c r="F119" s="1"/>
      <c r="G119" s="1"/>
    </row>
    <row r="120" spans="1:20" x14ac:dyDescent="0.3">
      <c r="B120" s="9" t="s">
        <v>1</v>
      </c>
      <c r="C120" s="40"/>
      <c r="D120" s="9"/>
      <c r="F120" s="90" t="s">
        <v>5</v>
      </c>
      <c r="G120" s="91"/>
      <c r="H120" s="91"/>
      <c r="I120" s="91"/>
      <c r="J120" s="91"/>
      <c r="L120" s="9" t="s">
        <v>2</v>
      </c>
      <c r="M120" s="40"/>
      <c r="N120" s="9"/>
      <c r="O120" s="33"/>
      <c r="P120" s="90" t="s">
        <v>5</v>
      </c>
      <c r="Q120" s="91"/>
      <c r="R120" s="91"/>
      <c r="S120" s="91"/>
      <c r="T120" s="91"/>
    </row>
    <row r="121" spans="1:20" x14ac:dyDescent="0.3">
      <c r="B121" s="9" t="s">
        <v>10</v>
      </c>
      <c r="C121" s="45" t="s">
        <v>9</v>
      </c>
      <c r="D121" s="63" t="s">
        <v>21</v>
      </c>
      <c r="E121" s="13" t="s">
        <v>27</v>
      </c>
      <c r="F121" s="10" t="s">
        <v>11</v>
      </c>
      <c r="G121" s="11" t="s">
        <v>4</v>
      </c>
      <c r="H121" s="11" t="s">
        <v>6</v>
      </c>
      <c r="I121" s="11" t="s">
        <v>7</v>
      </c>
      <c r="J121" s="12" t="s">
        <v>8</v>
      </c>
      <c r="L121" s="9" t="s">
        <v>10</v>
      </c>
      <c r="M121" s="40" t="s">
        <v>9</v>
      </c>
      <c r="N121" s="57" t="s">
        <v>21</v>
      </c>
      <c r="O121" s="13" t="s">
        <v>27</v>
      </c>
      <c r="P121" s="10" t="s">
        <v>11</v>
      </c>
      <c r="Q121" s="11" t="s">
        <v>4</v>
      </c>
      <c r="R121" s="11" t="s">
        <v>6</v>
      </c>
      <c r="S121" s="11" t="s">
        <v>7</v>
      </c>
      <c r="T121" s="12" t="s">
        <v>8</v>
      </c>
    </row>
    <row r="122" spans="1:20" x14ac:dyDescent="0.3">
      <c r="A122">
        <v>8</v>
      </c>
      <c r="B122">
        <v>110</v>
      </c>
      <c r="C122" s="46" t="s">
        <v>25</v>
      </c>
      <c r="D122" s="52">
        <v>402</v>
      </c>
      <c r="E122">
        <v>220</v>
      </c>
      <c r="F122" s="2">
        <v>94</v>
      </c>
      <c r="J122" s="4"/>
      <c r="K122" s="30"/>
      <c r="L122" s="5">
        <v>110</v>
      </c>
      <c r="M122" s="46" t="s">
        <v>25</v>
      </c>
      <c r="N122" s="59">
        <v>435</v>
      </c>
      <c r="O122">
        <v>267</v>
      </c>
      <c r="P122" s="28"/>
      <c r="Q122" s="30"/>
      <c r="R122" s="30"/>
      <c r="S122" s="30"/>
      <c r="T122" s="31"/>
    </row>
    <row r="123" spans="1:20" x14ac:dyDescent="0.3">
      <c r="A123">
        <v>8</v>
      </c>
      <c r="B123">
        <v>116</v>
      </c>
      <c r="C123" s="46" t="s">
        <v>25</v>
      </c>
      <c r="D123" s="52">
        <v>403</v>
      </c>
      <c r="E123">
        <v>221</v>
      </c>
      <c r="F123" s="2">
        <v>94</v>
      </c>
      <c r="J123" s="4"/>
      <c r="L123" s="5">
        <v>116</v>
      </c>
      <c r="M123" s="46" t="s">
        <v>25</v>
      </c>
      <c r="N123" s="59">
        <v>436</v>
      </c>
      <c r="O123">
        <v>268</v>
      </c>
      <c r="P123" s="3">
        <v>52</v>
      </c>
      <c r="T123" s="4"/>
    </row>
    <row r="124" spans="1:20" x14ac:dyDescent="0.3">
      <c r="A124">
        <v>8</v>
      </c>
      <c r="B124" s="32">
        <v>122</v>
      </c>
      <c r="C124" s="56" t="s">
        <v>25</v>
      </c>
      <c r="D124" s="53">
        <v>404</v>
      </c>
      <c r="E124" s="3">
        <v>222</v>
      </c>
      <c r="F124" s="29">
        <v>10</v>
      </c>
      <c r="G124" s="32">
        <v>12</v>
      </c>
      <c r="H124" s="32">
        <v>37</v>
      </c>
      <c r="I124" s="30">
        <v>76</v>
      </c>
      <c r="J124" s="31"/>
      <c r="L124" s="29">
        <v>122</v>
      </c>
      <c r="M124" s="56" t="s">
        <v>25</v>
      </c>
      <c r="N124" s="60">
        <v>437</v>
      </c>
      <c r="O124" s="3">
        <v>269</v>
      </c>
      <c r="P124" s="29">
        <v>11</v>
      </c>
      <c r="Q124" s="32">
        <v>16</v>
      </c>
      <c r="R124" s="3">
        <v>52</v>
      </c>
      <c r="S124" s="30"/>
      <c r="T124" s="31"/>
    </row>
    <row r="125" spans="1:20" x14ac:dyDescent="0.3">
      <c r="A125">
        <v>8</v>
      </c>
      <c r="B125" s="73">
        <v>128</v>
      </c>
      <c r="C125" s="35" t="s">
        <v>25</v>
      </c>
      <c r="D125" s="74">
        <v>405</v>
      </c>
      <c r="E125" s="73">
        <v>223</v>
      </c>
      <c r="F125" s="2">
        <v>14</v>
      </c>
      <c r="G125" s="3">
        <v>32</v>
      </c>
      <c r="H125" s="79">
        <v>52</v>
      </c>
      <c r="I125">
        <v>76</v>
      </c>
      <c r="J125" s="4"/>
      <c r="L125" s="35">
        <v>128</v>
      </c>
      <c r="M125" s="35" t="s">
        <v>25</v>
      </c>
      <c r="N125" s="75">
        <v>438</v>
      </c>
      <c r="O125" s="73">
        <v>270</v>
      </c>
      <c r="P125" s="2">
        <v>17</v>
      </c>
      <c r="Q125" s="3">
        <v>33</v>
      </c>
      <c r="R125" s="3">
        <v>52</v>
      </c>
      <c r="T125" s="4"/>
    </row>
    <row r="126" spans="1:20" x14ac:dyDescent="0.3">
      <c r="A126">
        <v>8</v>
      </c>
      <c r="B126">
        <v>134</v>
      </c>
      <c r="C126" s="46" t="s">
        <v>25</v>
      </c>
      <c r="D126" s="52">
        <v>406</v>
      </c>
      <c r="E126">
        <v>224</v>
      </c>
      <c r="F126" s="2">
        <v>14</v>
      </c>
      <c r="G126" s="3">
        <v>32</v>
      </c>
      <c r="H126" s="3">
        <v>52</v>
      </c>
      <c r="I126" s="3">
        <v>76</v>
      </c>
      <c r="J126" s="4"/>
      <c r="L126" s="5">
        <v>134</v>
      </c>
      <c r="M126" s="46" t="s">
        <v>25</v>
      </c>
      <c r="N126" s="59">
        <v>439</v>
      </c>
      <c r="O126">
        <v>271</v>
      </c>
      <c r="P126" s="2">
        <v>17</v>
      </c>
      <c r="Q126" s="3">
        <v>37</v>
      </c>
      <c r="R126" s="3">
        <v>52</v>
      </c>
      <c r="T126" s="4"/>
    </row>
    <row r="127" spans="1:20" x14ac:dyDescent="0.3">
      <c r="A127">
        <v>8</v>
      </c>
      <c r="B127" s="82">
        <v>140</v>
      </c>
      <c r="C127" s="81" t="s">
        <v>25</v>
      </c>
      <c r="D127" s="77">
        <v>407</v>
      </c>
      <c r="E127" s="79">
        <v>225</v>
      </c>
      <c r="F127" s="29">
        <v>10</v>
      </c>
      <c r="G127" s="32">
        <v>12</v>
      </c>
      <c r="H127" s="32">
        <v>53</v>
      </c>
      <c r="I127" s="30">
        <v>76</v>
      </c>
      <c r="J127" s="31"/>
      <c r="K127" s="30"/>
      <c r="L127" s="80">
        <v>140</v>
      </c>
      <c r="M127" s="81" t="s">
        <v>25</v>
      </c>
      <c r="N127" s="78">
        <v>440</v>
      </c>
      <c r="O127" s="79">
        <v>272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3">
      <c r="A128">
        <v>8</v>
      </c>
      <c r="B128" s="82">
        <v>146</v>
      </c>
      <c r="C128" s="81" t="s">
        <v>25</v>
      </c>
      <c r="D128" s="77">
        <v>408</v>
      </c>
      <c r="E128" s="79">
        <v>226</v>
      </c>
      <c r="F128" s="29">
        <v>14</v>
      </c>
      <c r="G128" s="32">
        <v>23</v>
      </c>
      <c r="H128" s="32">
        <v>53</v>
      </c>
      <c r="I128" s="30">
        <v>76</v>
      </c>
      <c r="J128" s="31"/>
      <c r="L128" s="80">
        <v>146</v>
      </c>
      <c r="M128" s="81" t="s">
        <v>25</v>
      </c>
      <c r="N128" s="78">
        <v>441</v>
      </c>
      <c r="O128" s="79">
        <v>273</v>
      </c>
      <c r="P128" s="29">
        <v>17</v>
      </c>
      <c r="Q128" s="32">
        <v>29</v>
      </c>
      <c r="R128" s="3">
        <v>52</v>
      </c>
      <c r="S128" s="30"/>
      <c r="T128" s="31"/>
    </row>
    <row r="129" spans="1:20" x14ac:dyDescent="0.3">
      <c r="A129">
        <v>8</v>
      </c>
      <c r="B129">
        <v>152</v>
      </c>
      <c r="C129" s="46" t="s">
        <v>25</v>
      </c>
      <c r="D129" s="52">
        <v>409</v>
      </c>
      <c r="E129">
        <v>227</v>
      </c>
      <c r="F129" s="2">
        <v>14</v>
      </c>
      <c r="G129" s="32">
        <v>33</v>
      </c>
      <c r="H129" s="3">
        <v>51</v>
      </c>
      <c r="I129" s="30">
        <v>76</v>
      </c>
      <c r="J129" s="4"/>
      <c r="K129" s="30"/>
      <c r="L129" s="5">
        <v>152</v>
      </c>
      <c r="M129" s="46" t="s">
        <v>25</v>
      </c>
      <c r="N129" s="59">
        <v>442</v>
      </c>
      <c r="O129">
        <v>274</v>
      </c>
      <c r="P129" s="2">
        <v>17</v>
      </c>
      <c r="Q129" s="32">
        <v>29</v>
      </c>
      <c r="R129" s="3">
        <v>53</v>
      </c>
      <c r="S129" s="30"/>
      <c r="T129" s="31"/>
    </row>
    <row r="130" spans="1:20" x14ac:dyDescent="0.3">
      <c r="A130">
        <v>8</v>
      </c>
      <c r="B130" s="32">
        <v>158</v>
      </c>
      <c r="C130" s="56" t="s">
        <v>25</v>
      </c>
      <c r="D130" s="53">
        <v>410</v>
      </c>
      <c r="E130" s="3">
        <v>228</v>
      </c>
      <c r="F130" s="29">
        <v>10</v>
      </c>
      <c r="G130" s="32">
        <v>12</v>
      </c>
      <c r="H130" s="32">
        <v>51</v>
      </c>
      <c r="I130" s="30"/>
      <c r="J130" s="31"/>
      <c r="L130" s="29">
        <v>158</v>
      </c>
      <c r="M130" s="56" t="s">
        <v>25</v>
      </c>
      <c r="N130" s="60">
        <v>443</v>
      </c>
      <c r="O130" s="3">
        <v>275</v>
      </c>
      <c r="P130" s="29">
        <v>11</v>
      </c>
      <c r="Q130" s="32">
        <v>29</v>
      </c>
      <c r="R130" s="32">
        <v>53</v>
      </c>
      <c r="S130" s="30"/>
      <c r="T130" s="31"/>
    </row>
    <row r="131" spans="1:20" x14ac:dyDescent="0.3">
      <c r="A131">
        <v>8</v>
      </c>
      <c r="B131" s="73">
        <v>164</v>
      </c>
      <c r="C131" s="35" t="s">
        <v>25</v>
      </c>
      <c r="D131" s="74">
        <v>411</v>
      </c>
      <c r="E131" s="73">
        <v>229</v>
      </c>
      <c r="F131" s="2">
        <v>18</v>
      </c>
      <c r="G131" s="3">
        <v>28</v>
      </c>
      <c r="H131" s="79">
        <v>51</v>
      </c>
      <c r="I131" s="3">
        <v>66</v>
      </c>
      <c r="J131" s="4"/>
      <c r="L131" s="35">
        <v>164</v>
      </c>
      <c r="M131" s="35" t="s">
        <v>25</v>
      </c>
      <c r="N131" s="75">
        <v>444</v>
      </c>
      <c r="O131" s="73">
        <v>276</v>
      </c>
      <c r="P131" s="2">
        <v>14</v>
      </c>
      <c r="Q131" s="32">
        <v>29</v>
      </c>
      <c r="R131" s="3">
        <v>53</v>
      </c>
      <c r="T131" s="4"/>
    </row>
    <row r="132" spans="1:20" x14ac:dyDescent="0.3">
      <c r="A132">
        <v>8</v>
      </c>
      <c r="B132">
        <v>170</v>
      </c>
      <c r="C132" s="46" t="s">
        <v>25</v>
      </c>
      <c r="D132" s="52">
        <v>412</v>
      </c>
      <c r="E132">
        <v>230</v>
      </c>
      <c r="F132" s="2">
        <v>18</v>
      </c>
      <c r="G132" s="3">
        <v>28</v>
      </c>
      <c r="H132" s="3">
        <v>51</v>
      </c>
      <c r="I132" s="3">
        <v>66</v>
      </c>
      <c r="J132" s="4"/>
      <c r="L132" s="5">
        <v>170</v>
      </c>
      <c r="M132" s="46" t="s">
        <v>25</v>
      </c>
      <c r="N132" s="59">
        <v>445</v>
      </c>
      <c r="O132">
        <v>277</v>
      </c>
      <c r="P132" s="2">
        <v>14</v>
      </c>
      <c r="Q132" s="32">
        <v>31</v>
      </c>
      <c r="R132" s="3">
        <v>53</v>
      </c>
      <c r="T132" s="4"/>
    </row>
    <row r="133" spans="1:20" x14ac:dyDescent="0.3">
      <c r="A133">
        <v>8</v>
      </c>
      <c r="B133">
        <v>176</v>
      </c>
      <c r="C133" s="46" t="s">
        <v>25</v>
      </c>
      <c r="D133" s="52">
        <v>413</v>
      </c>
      <c r="E133">
        <v>231</v>
      </c>
      <c r="F133" s="2">
        <v>18</v>
      </c>
      <c r="G133" s="3">
        <v>28</v>
      </c>
      <c r="H133" s="3">
        <v>41</v>
      </c>
      <c r="I133" s="3">
        <v>59</v>
      </c>
      <c r="J133" s="4"/>
      <c r="L133" s="5">
        <v>176</v>
      </c>
      <c r="M133" s="46" t="s">
        <v>25</v>
      </c>
      <c r="N133" s="59">
        <v>446</v>
      </c>
      <c r="O133">
        <v>278</v>
      </c>
      <c r="P133" s="2">
        <v>19</v>
      </c>
      <c r="Q133" s="32">
        <v>31</v>
      </c>
      <c r="R133" s="3">
        <v>41</v>
      </c>
      <c r="T133" s="4"/>
    </row>
    <row r="134" spans="1:20" x14ac:dyDescent="0.3">
      <c r="A134">
        <v>8</v>
      </c>
      <c r="B134">
        <v>182</v>
      </c>
      <c r="C134" s="46" t="s">
        <v>25</v>
      </c>
      <c r="D134" s="52">
        <v>414</v>
      </c>
      <c r="E134">
        <v>232</v>
      </c>
      <c r="F134" s="2">
        <v>18</v>
      </c>
      <c r="G134" s="3">
        <v>28</v>
      </c>
      <c r="H134" s="3">
        <v>42</v>
      </c>
      <c r="I134" s="3">
        <v>59</v>
      </c>
      <c r="J134" s="4"/>
      <c r="K134" s="30"/>
      <c r="L134" s="5">
        <v>182</v>
      </c>
      <c r="M134" s="46" t="s">
        <v>25</v>
      </c>
      <c r="N134" s="59">
        <v>447</v>
      </c>
      <c r="O134">
        <v>279</v>
      </c>
      <c r="P134" s="2">
        <v>19</v>
      </c>
      <c r="Q134" s="32">
        <v>31</v>
      </c>
      <c r="R134" s="3">
        <v>42</v>
      </c>
      <c r="T134" s="4"/>
    </row>
    <row r="135" spans="1:20" x14ac:dyDescent="0.3">
      <c r="A135">
        <v>8</v>
      </c>
      <c r="B135" s="73">
        <v>188</v>
      </c>
      <c r="C135" s="35" t="s">
        <v>25</v>
      </c>
      <c r="D135" s="74">
        <v>415</v>
      </c>
      <c r="E135" s="73">
        <v>233</v>
      </c>
      <c r="F135" s="2">
        <v>33</v>
      </c>
      <c r="G135" s="3">
        <v>37</v>
      </c>
      <c r="H135" s="3">
        <v>41</v>
      </c>
      <c r="I135" s="3">
        <v>59</v>
      </c>
      <c r="J135" s="86">
        <v>75</v>
      </c>
      <c r="L135" s="35">
        <v>188</v>
      </c>
      <c r="M135" s="35" t="s">
        <v>25</v>
      </c>
      <c r="N135" s="75">
        <v>448</v>
      </c>
      <c r="O135" s="73">
        <v>280</v>
      </c>
      <c r="P135" s="2">
        <v>33</v>
      </c>
      <c r="Q135" s="32">
        <v>37</v>
      </c>
      <c r="R135" s="3">
        <v>41</v>
      </c>
      <c r="T135" s="4"/>
    </row>
    <row r="136" spans="1:20" x14ac:dyDescent="0.3">
      <c r="A136">
        <v>8</v>
      </c>
      <c r="B136" s="82">
        <v>194</v>
      </c>
      <c r="C136" s="81" t="s">
        <v>25</v>
      </c>
      <c r="D136" s="77">
        <v>416</v>
      </c>
      <c r="E136" s="79">
        <v>234</v>
      </c>
      <c r="F136" s="29">
        <v>10</v>
      </c>
      <c r="G136" s="32">
        <v>12</v>
      </c>
      <c r="H136" s="32">
        <v>42</v>
      </c>
      <c r="I136" s="32">
        <v>59</v>
      </c>
      <c r="J136" s="87">
        <v>75</v>
      </c>
      <c r="L136" s="80">
        <v>194</v>
      </c>
      <c r="M136" s="81" t="s">
        <v>25</v>
      </c>
      <c r="N136" s="78">
        <v>449</v>
      </c>
      <c r="O136" s="79">
        <v>281</v>
      </c>
      <c r="P136" s="29">
        <v>11</v>
      </c>
      <c r="Q136" s="32">
        <v>31</v>
      </c>
      <c r="R136" s="32">
        <v>42</v>
      </c>
      <c r="S136" s="30"/>
      <c r="T136" s="31"/>
    </row>
    <row r="137" spans="1:20" x14ac:dyDescent="0.3">
      <c r="A137">
        <v>8</v>
      </c>
      <c r="B137">
        <v>200</v>
      </c>
      <c r="C137" s="46" t="s">
        <v>25</v>
      </c>
      <c r="D137" s="52">
        <v>417</v>
      </c>
      <c r="E137">
        <v>235</v>
      </c>
      <c r="F137" s="2">
        <v>98</v>
      </c>
      <c r="J137" s="4"/>
      <c r="L137" s="5">
        <v>200</v>
      </c>
      <c r="M137" s="46" t="s">
        <v>25</v>
      </c>
      <c r="N137" s="59">
        <v>450</v>
      </c>
      <c r="O137">
        <v>282</v>
      </c>
      <c r="P137" s="5"/>
      <c r="T137" s="4"/>
    </row>
    <row r="138" spans="1:20" x14ac:dyDescent="0.3">
      <c r="A138">
        <v>8</v>
      </c>
      <c r="B138" s="7">
        <v>206</v>
      </c>
      <c r="C138" s="47" t="s">
        <v>25</v>
      </c>
      <c r="D138" s="54">
        <v>418</v>
      </c>
      <c r="E138">
        <v>236</v>
      </c>
      <c r="F138" s="69">
        <v>98</v>
      </c>
      <c r="G138" s="7"/>
      <c r="H138" s="7"/>
      <c r="I138" s="7"/>
      <c r="J138" s="8"/>
      <c r="L138" s="6">
        <v>206</v>
      </c>
      <c r="M138" s="47" t="s">
        <v>25</v>
      </c>
      <c r="N138" s="61">
        <v>451</v>
      </c>
      <c r="O138">
        <v>283</v>
      </c>
      <c r="P138" s="6"/>
      <c r="Q138" s="7"/>
      <c r="R138" s="7"/>
      <c r="S138" s="7"/>
      <c r="T138" s="8"/>
    </row>
    <row r="141" spans="1:20" x14ac:dyDescent="0.3">
      <c r="B141" t="s">
        <v>40</v>
      </c>
      <c r="C141" t="s">
        <v>44</v>
      </c>
      <c r="D141" t="s">
        <v>43</v>
      </c>
      <c r="L141" t="s">
        <v>2</v>
      </c>
      <c r="M141" t="s">
        <v>45</v>
      </c>
      <c r="N141" t="s">
        <v>46</v>
      </c>
    </row>
    <row r="142" spans="1:20" x14ac:dyDescent="0.3">
      <c r="B142" t="s">
        <v>41</v>
      </c>
      <c r="L142" t="s">
        <v>41</v>
      </c>
    </row>
    <row r="143" spans="1:20" x14ac:dyDescent="0.3">
      <c r="B143">
        <v>125</v>
      </c>
      <c r="L143">
        <v>127</v>
      </c>
    </row>
    <row r="144" spans="1:20" x14ac:dyDescent="0.3">
      <c r="B144">
        <v>126</v>
      </c>
      <c r="L144">
        <v>128</v>
      </c>
    </row>
    <row r="146" spans="2:12" x14ac:dyDescent="0.3">
      <c r="B146" t="s">
        <v>42</v>
      </c>
      <c r="L146" t="s">
        <v>42</v>
      </c>
    </row>
    <row r="147" spans="2:12" x14ac:dyDescent="0.3">
      <c r="B147" t="str">
        <f ca="1">"3,1,"&amp;INDIRECT(D141&amp;B143)&amp;","&amp;INDIRECT(D141&amp;B144)&amp;",0,-1,NONE,NONE,SO MINISCAN "&amp;A138&amp;"KHZ STARTING ORDER "&amp;INDIRECT(C141&amp;B143)&amp;" &amp; "&amp;INDIRECT(C141&amp;B144)</f>
        <v>3,1,223,224,0,-1,NONE,NONE,SO MINISCAN 8KHZ STARTING ORDER 128 &amp; 134</v>
      </c>
      <c r="L147" t="str">
        <f ca="1">"3,1,"&amp;INDIRECT(N141&amp;L143)&amp;","&amp;INDIRECT(N141&amp;L144)&amp;",1,-1,NONE,NONE,LNO MINISCAN "&amp;A138&amp;"KHZ STARTING ORDER "&amp;INDIRECT(M141&amp;L143)&amp;" &amp; "&amp;INDIRECT(M141&amp;L144)</f>
        <v>3,1,272,273,1,-1,NONE,NONE,LNO MINISCAN 8KHZ STARTING ORDER 140 &amp; 146</v>
      </c>
    </row>
  </sheetData>
  <mergeCells count="9">
    <mergeCell ref="F10:J10"/>
    <mergeCell ref="F17:J17"/>
    <mergeCell ref="P17:T17"/>
    <mergeCell ref="F120:J120"/>
    <mergeCell ref="P120:T120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2025-09-26T19:23:52Z</dcterms:modified>
</cp:coreProperties>
</file>