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calibrations\"/>
    </mc:Choice>
  </mc:AlternateContent>
  <xr:revisionPtr revIDLastSave="0" documentId="13_ncr:1_{AF1109F2-6364-4C22-8458-7288EC91C1E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" l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L55" i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9" i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50" i="1"/>
  <c r="B150" i="1"/>
  <c r="M89" i="1" l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C89" i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55" i="1" l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M55" i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</calcChain>
</file>

<file path=xl/sharedStrings.xml><?xml version="1.0" encoding="utf-8"?>
<sst xmlns="http://schemas.openxmlformats.org/spreadsheetml/2006/main" count="235" uniqueCount="49">
  <si>
    <t>MINISCANS</t>
  </si>
  <si>
    <t>SO</t>
  </si>
  <si>
    <t>LNO</t>
  </si>
  <si>
    <t>FULLSCANS</t>
  </si>
  <si>
    <t>Repeat1</t>
  </si>
  <si>
    <t>MTP Number</t>
  </si>
  <si>
    <t>Repeat2</t>
  </si>
  <si>
    <t>Repeat3</t>
  </si>
  <si>
    <t>Repeat4</t>
  </si>
  <si>
    <t>COP Row</t>
  </si>
  <si>
    <t>Starting Order</t>
  </si>
  <si>
    <t>First Run</t>
  </si>
  <si>
    <t>Channel</t>
  </si>
  <si>
    <t>2kHz</t>
  </si>
  <si>
    <t>4kHz</t>
  </si>
  <si>
    <t>WAVENUMBER</t>
  </si>
  <si>
    <t>SO ORDER</t>
  </si>
  <si>
    <t>Reduced list 2/10/18</t>
  </si>
  <si>
    <t>All 13/09/2018</t>
  </si>
  <si>
    <t>BOLD BOX = GOOD LINES WITHIN 2 ORDERS OF EACH OTHER</t>
  </si>
  <si>
    <t>8kHz</t>
  </si>
  <si>
    <t>MTP010 COP row</t>
  </si>
  <si>
    <t>1kHz</t>
  </si>
  <si>
    <t>MINISCAN SOLAR LINES</t>
  </si>
  <si>
    <t>FOV LINESCANS</t>
  </si>
  <si>
    <t>N/A</t>
  </si>
  <si>
    <t>MTP010 COP Row</t>
  </si>
  <si>
    <t>MTP021 COP Row</t>
  </si>
  <si>
    <t>N.B. LNO not measuring same order before MTP021 - no suitable COP row available</t>
  </si>
  <si>
    <t>64 accumulations</t>
  </si>
  <si>
    <t>34 (fixed=3)</t>
  </si>
  <si>
    <t>31 (fixed=3)</t>
  </si>
  <si>
    <t>&lt;- add to high priority</t>
  </si>
  <si>
    <t>2915 (fixed=1)</t>
  </si>
  <si>
    <t>SO 6X164</t>
  </si>
  <si>
    <t>3665 (fixed=1)</t>
  </si>
  <si>
    <t>LNO 6x164</t>
  </si>
  <si>
    <t>NEW LIST 2021 CALIBRATION GSFC</t>
  </si>
  <si>
    <t>Bold = old best orders</t>
  </si>
  <si>
    <t>Red = 2021 update best orders</t>
  </si>
  <si>
    <t>SO miniscan</t>
  </si>
  <si>
    <t>Enter row numbers</t>
  </si>
  <si>
    <t>Text</t>
  </si>
  <si>
    <t>E</t>
  </si>
  <si>
    <t>B</t>
  </si>
  <si>
    <t>L</t>
  </si>
  <si>
    <t>O</t>
  </si>
  <si>
    <t>MTP021+ COP Row</t>
  </si>
  <si>
    <t>gyros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</si>
</sst>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19" applyNumberFormat="0" applyAlignment="0" applyProtection="0"/>
    <xf numFmtId="0" fontId="16" fillId="7" borderId="20" applyNumberFormat="0" applyAlignment="0" applyProtection="0"/>
    <xf numFmtId="0" fontId="17" fillId="7" borderId="19" applyNumberFormat="0" applyAlignment="0" applyProtection="0"/>
    <xf numFmtId="0" fontId="18" fillId="0" borderId="21" applyNumberFormat="0" applyFill="0" applyAlignment="0" applyProtection="0"/>
    <xf numFmtId="0" fontId="19" fillId="8" borderId="22" applyNumberFormat="0" applyAlignment="0" applyProtection="0"/>
    <xf numFmtId="0" fontId="4" fillId="0" borderId="0" applyNumberFormat="0" applyFill="0" applyBorder="0" applyAlignment="0" applyProtection="0"/>
    <xf numFmtId="0" fontId="8" fillId="9" borderId="23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21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1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1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1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1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1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2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2" borderId="4" xfId="0" applyFill="1" applyBorder="1"/>
    <xf numFmtId="0" fontId="0" fillId="2" borderId="0" xfId="0" applyFill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2" fillId="0" borderId="0" xfId="0" applyFont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2" borderId="7" xfId="0" applyFill="1" applyBorder="1"/>
    <xf numFmtId="0" fontId="1" fillId="2" borderId="14" xfId="0" applyFont="1" applyFill="1" applyBorder="1"/>
    <xf numFmtId="0" fontId="1" fillId="2" borderId="13" xfId="0" applyFont="1" applyFill="1" applyBorder="1"/>
    <xf numFmtId="0" fontId="1" fillId="0" borderId="11" xfId="0" applyFont="1" applyBorder="1"/>
    <xf numFmtId="0" fontId="1" fillId="0" borderId="14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2" xfId="0" applyBorder="1"/>
    <xf numFmtId="0" fontId="0" fillId="0" borderId="14" xfId="0" applyBorder="1"/>
    <xf numFmtId="14" fontId="0" fillId="0" borderId="0" xfId="0" applyNumberFormat="1" applyAlignment="1">
      <alignment horizontal="left"/>
    </xf>
    <xf numFmtId="0" fontId="3" fillId="0" borderId="4" xfId="0" applyFont="1" applyBorder="1"/>
    <xf numFmtId="0" fontId="3" fillId="2" borderId="4" xfId="0" applyFont="1" applyFill="1" applyBorder="1"/>
    <xf numFmtId="0" fontId="3" fillId="0" borderId="0" xfId="0" applyFont="1"/>
    <xf numFmtId="0" fontId="3" fillId="0" borderId="5" xfId="0" applyFont="1" applyBorder="1"/>
    <xf numFmtId="0" fontId="3" fillId="2" borderId="0" xfId="0" applyFont="1" applyFill="1"/>
    <xf numFmtId="0" fontId="1" fillId="0" borderId="9" xfId="0" applyFont="1" applyBorder="1" applyAlignment="1">
      <alignment horizontal="center"/>
    </xf>
    <xf numFmtId="0" fontId="0" fillId="0" borderId="13" xfId="0" applyBorder="1"/>
    <xf numFmtId="0" fontId="4" fillId="0" borderId="4" xfId="0" applyFont="1" applyBorder="1"/>
    <xf numFmtId="0" fontId="1" fillId="2" borderId="2" xfId="0" applyFont="1" applyFill="1" applyBorder="1"/>
    <xf numFmtId="0" fontId="1" fillId="2" borderId="7" xfId="0" applyFont="1" applyFill="1" applyBorder="1"/>
    <xf numFmtId="0" fontId="0" fillId="0" borderId="15" xfId="0" applyBorder="1"/>
    <xf numFmtId="0" fontId="1" fillId="0" borderId="15" xfId="0" applyFont="1" applyBorder="1"/>
    <xf numFmtId="0" fontId="5" fillId="0" borderId="1" xfId="0" applyFont="1" applyBorder="1"/>
    <xf numFmtId="0" fontId="6" fillId="2" borderId="12" xfId="0" applyFont="1" applyFill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5" fillId="0" borderId="15" xfId="0" applyFont="1" applyBorder="1"/>
    <xf numFmtId="0" fontId="6" fillId="0" borderId="4" xfId="0" applyFont="1" applyBorder="1"/>
    <xf numFmtId="0" fontId="6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3" fillId="2" borderId="12" xfId="0" applyFont="1" applyFill="1" applyBorder="1"/>
    <xf numFmtId="0" fontId="7" fillId="0" borderId="14" xfId="0" applyFont="1" applyBorder="1"/>
    <xf numFmtId="0" fontId="7" fillId="0" borderId="12" xfId="0" applyFont="1" applyBorder="1"/>
    <xf numFmtId="0" fontId="7" fillId="2" borderId="12" xfId="0" applyFont="1" applyFill="1" applyBorder="1"/>
    <xf numFmtId="0" fontId="7" fillId="0" borderId="13" xfId="0" applyFont="1" applyBorder="1"/>
    <xf numFmtId="0" fontId="23" fillId="0" borderId="5" xfId="0" applyFont="1" applyBorder="1"/>
    <xf numFmtId="0" fontId="6" fillId="2" borderId="4" xfId="0" applyFont="1" applyFill="1" applyBorder="1"/>
    <xf numFmtId="0" fontId="24" fillId="0" borderId="6" xfId="0" applyFont="1" applyBorder="1"/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24" fillId="0" borderId="14" xfId="0" applyFont="1" applyBorder="1"/>
    <xf numFmtId="0" fontId="25" fillId="0" borderId="4" xfId="0" applyFont="1" applyBorder="1"/>
    <xf numFmtId="0" fontId="0" fillId="0" borderId="11" xfId="0" applyBorder="1"/>
    <xf numFmtId="0" fontId="5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0" fillId="2" borderId="6" xfId="0" applyFill="1" applyBorder="1"/>
    <xf numFmtId="0" fontId="0" fillId="2" borderId="15" xfId="0" applyFill="1" applyBorder="1"/>
    <xf numFmtId="0" fontId="0" fillId="0" borderId="10" xfId="0" applyBorder="1"/>
    <xf numFmtId="0" fontId="1" fillId="0" borderId="10" xfId="0" applyFont="1" applyBorder="1"/>
    <xf numFmtId="0" fontId="4" fillId="0" borderId="0" xfId="0" applyFont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26" fillId="2" borderId="12" xfId="0" applyFont="1" applyFill="1" applyBorder="1"/>
    <xf numFmtId="0" fontId="4" fillId="2" borderId="12" xfId="0" applyFont="1" applyFill="1" applyBorder="1"/>
    <xf numFmtId="0" fontId="4" fillId="2" borderId="12" xfId="0" applyFont="1" applyFill="1" applyBorder="1" applyAlignment="1">
      <alignment horizontal="center"/>
    </xf>
    <xf numFmtId="0" fontId="4" fillId="2" borderId="0" xfId="0" applyFont="1" applyFill="1"/>
    <xf numFmtId="0" fontId="26" fillId="2" borderId="4" xfId="0" applyFont="1" applyFill="1" applyBorder="1"/>
    <xf numFmtId="0" fontId="4" fillId="2" borderId="4" xfId="0" applyFont="1" applyFill="1" applyBorder="1"/>
    <xf numFmtId="0" fontId="26" fillId="2" borderId="0" xfId="0" applyFont="1" applyFill="1"/>
    <xf numFmtId="0" fontId="23" fillId="0" borderId="0" xfId="0" applyFont="1"/>
    <xf numFmtId="0" fontId="25" fillId="0" borderId="5" xfId="0" applyFont="1" applyBorder="1"/>
    <xf numFmtId="0" fontId="4" fillId="0" borderId="5" xfId="0" applyFont="1" applyBorder="1"/>
    <xf numFmtId="0" fontId="26" fillId="0" borderId="5" xfId="0" applyFont="1" applyBorder="1"/>
    <xf numFmtId="0" fontId="4" fillId="2" borderId="5" xfId="0" applyFont="1" applyFill="1" applyBorder="1"/>
    <xf numFmtId="0" fontId="26" fillId="2" borderId="5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26" fillId="0" borderId="0" xfId="0" applyFont="1"/>
    <xf numFmtId="0" fontId="7" fillId="0" borderId="7" xfId="0" applyFont="1" applyBorder="1" applyAlignment="1">
      <alignment horizontal="center"/>
    </xf>
    <xf numFmtId="0" fontId="25" fillId="2" borderId="0" xfId="0" applyFont="1" applyFill="1"/>
    <xf numFmtId="0" fontId="0" fillId="2" borderId="12" xfId="0" applyFill="1" applyBorder="1"/>
    <xf numFmtId="0" fontId="7" fillId="0" borderId="2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7" fillId="0" borderId="0" xfId="0" applyFont="1"/>
    <xf numFmtId="0" fontId="0" fillId="2" borderId="8" xfId="0" applyFill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A15" zoomScale="85" zoomScaleNormal="85" workbookViewId="0">
      <selection activeCell="H49" sqref="H49"/>
    </sheetView>
  </sheetViews>
  <sheetFormatPr defaultRowHeight="14.4" x14ac:dyDescent="0.3"/>
  <cols>
    <col min="1" max="1" width="2.5546875" bestFit="1" customWidth="1"/>
    <col min="2" max="2" width="16.6640625" customWidth="1"/>
    <col min="3" max="3" width="12.109375" bestFit="1" customWidth="1"/>
    <col min="4" max="4" width="20.109375" customWidth="1"/>
    <col min="5" max="5" width="21.6640625" customWidth="1"/>
    <col min="12" max="12" width="16.88671875" customWidth="1"/>
    <col min="13" max="13" width="12.109375" bestFit="1" customWidth="1"/>
    <col min="14" max="14" width="21" bestFit="1" customWidth="1"/>
    <col min="15" max="15" width="21.33203125" customWidth="1"/>
    <col min="23" max="23" width="20.33203125" bestFit="1" customWidth="1"/>
    <col min="24" max="24" width="9.88671875" bestFit="1" customWidth="1"/>
    <col min="25" max="25" width="11" customWidth="1"/>
  </cols>
  <sheetData>
    <row r="1" spans="2:31" x14ac:dyDescent="0.3">
      <c r="B1" s="1"/>
      <c r="C1" s="1"/>
      <c r="D1" s="1"/>
      <c r="E1" s="1"/>
      <c r="F1" s="1"/>
      <c r="G1" s="1"/>
    </row>
    <row r="2" spans="2:31" ht="18" x14ac:dyDescent="0.35">
      <c r="W2" s="14" t="s">
        <v>23</v>
      </c>
    </row>
    <row r="3" spans="2:31" ht="18" x14ac:dyDescent="0.35">
      <c r="B3" s="14" t="s">
        <v>3</v>
      </c>
      <c r="D3" s="1"/>
      <c r="E3" s="1"/>
      <c r="W3" s="27" t="s">
        <v>18</v>
      </c>
      <c r="Y3" t="s">
        <v>17</v>
      </c>
    </row>
    <row r="4" spans="2:31" x14ac:dyDescent="0.3">
      <c r="C4" s="13" t="s">
        <v>12</v>
      </c>
      <c r="D4" s="22" t="s">
        <v>21</v>
      </c>
      <c r="E4" s="9" t="s">
        <v>27</v>
      </c>
      <c r="F4" s="9" t="s">
        <v>5</v>
      </c>
      <c r="G4" s="72"/>
      <c r="H4" s="72"/>
      <c r="I4" s="72"/>
      <c r="J4" s="72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65"/>
    </row>
    <row r="5" spans="2:31" x14ac:dyDescent="0.3">
      <c r="C5" s="19" t="s">
        <v>1</v>
      </c>
      <c r="D5" s="66">
        <v>107</v>
      </c>
      <c r="E5" s="36" t="s">
        <v>31</v>
      </c>
      <c r="F5" s="2">
        <v>3</v>
      </c>
      <c r="G5" s="3">
        <v>7</v>
      </c>
      <c r="H5" s="3">
        <v>12</v>
      </c>
      <c r="I5" s="3">
        <v>19</v>
      </c>
      <c r="J5" s="3">
        <v>22</v>
      </c>
      <c r="K5" s="3">
        <v>34</v>
      </c>
      <c r="L5" s="3">
        <v>49</v>
      </c>
      <c r="M5" s="3">
        <v>59</v>
      </c>
      <c r="N5" s="3">
        <v>75</v>
      </c>
      <c r="O5" s="3">
        <v>92</v>
      </c>
      <c r="P5" s="3">
        <v>110</v>
      </c>
      <c r="AE5" s="4"/>
    </row>
    <row r="6" spans="2:31" x14ac:dyDescent="0.3">
      <c r="C6" s="20" t="s">
        <v>2</v>
      </c>
      <c r="D6" s="67">
        <v>57</v>
      </c>
      <c r="E6" s="37" t="s">
        <v>30</v>
      </c>
      <c r="F6" s="69">
        <v>3</v>
      </c>
      <c r="G6" s="18">
        <v>7</v>
      </c>
      <c r="H6" s="18">
        <v>12</v>
      </c>
      <c r="I6" s="18">
        <v>19</v>
      </c>
      <c r="J6" s="18">
        <v>22</v>
      </c>
      <c r="K6" s="18">
        <v>23</v>
      </c>
      <c r="L6" s="18">
        <v>26</v>
      </c>
      <c r="M6" s="18">
        <v>34</v>
      </c>
      <c r="N6" s="18">
        <v>39</v>
      </c>
      <c r="O6" s="18">
        <v>49</v>
      </c>
      <c r="P6" s="18">
        <v>55</v>
      </c>
      <c r="Q6" s="18">
        <v>64</v>
      </c>
      <c r="R6" s="18">
        <v>75</v>
      </c>
      <c r="S6" s="18">
        <v>91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8"/>
    </row>
    <row r="9" spans="2:31" ht="18" x14ac:dyDescent="0.35">
      <c r="B9" s="14" t="s">
        <v>24</v>
      </c>
      <c r="D9" s="1"/>
      <c r="E9" s="1"/>
    </row>
    <row r="10" spans="2:31" x14ac:dyDescent="0.3">
      <c r="C10" s="13" t="s">
        <v>12</v>
      </c>
      <c r="D10" s="13" t="s">
        <v>26</v>
      </c>
      <c r="E10" s="9" t="s">
        <v>27</v>
      </c>
      <c r="F10" s="101" t="s">
        <v>5</v>
      </c>
      <c r="G10" s="102"/>
      <c r="H10" s="102"/>
      <c r="I10" s="102"/>
      <c r="J10" s="102"/>
      <c r="K10" s="71"/>
      <c r="L10" s="71"/>
      <c r="M10" s="71"/>
      <c r="N10" s="71"/>
      <c r="O10" s="71"/>
      <c r="P10" s="71" t="s">
        <v>48</v>
      </c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65"/>
    </row>
    <row r="11" spans="2:31" x14ac:dyDescent="0.3">
      <c r="C11" s="19" t="s">
        <v>34</v>
      </c>
      <c r="D11" s="66">
        <v>3973</v>
      </c>
      <c r="E11" s="36" t="s">
        <v>33</v>
      </c>
      <c r="F11" s="70">
        <v>5</v>
      </c>
      <c r="G11" s="15">
        <v>10</v>
      </c>
      <c r="H11" s="15">
        <v>20</v>
      </c>
      <c r="I11" s="15">
        <v>25</v>
      </c>
      <c r="J11" s="15">
        <v>35</v>
      </c>
      <c r="K11" s="15">
        <v>40</v>
      </c>
      <c r="L11" s="15">
        <v>48</v>
      </c>
      <c r="M11" s="15">
        <v>50</v>
      </c>
      <c r="N11" s="15">
        <v>51</v>
      </c>
      <c r="O11" s="15">
        <v>62</v>
      </c>
      <c r="P11" s="15">
        <v>105</v>
      </c>
      <c r="Q11" s="15">
        <v>109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7"/>
    </row>
    <row r="12" spans="2:31" x14ac:dyDescent="0.3">
      <c r="C12" s="20" t="s">
        <v>36</v>
      </c>
      <c r="D12" s="67">
        <v>674</v>
      </c>
      <c r="E12" s="68" t="s">
        <v>35</v>
      </c>
      <c r="F12" s="69">
        <v>15</v>
      </c>
      <c r="G12" s="18">
        <v>30</v>
      </c>
      <c r="H12" s="18">
        <v>44</v>
      </c>
      <c r="I12" s="18">
        <v>58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8"/>
    </row>
    <row r="13" spans="2:31" x14ac:dyDescent="0.3">
      <c r="C13" t="s">
        <v>28</v>
      </c>
    </row>
    <row r="15" spans="2:31" ht="18" x14ac:dyDescent="0.35">
      <c r="B15" s="14" t="s">
        <v>0</v>
      </c>
      <c r="C15" s="14" t="s">
        <v>22</v>
      </c>
      <c r="D15" s="1" t="s">
        <v>38</v>
      </c>
      <c r="F15" s="83" t="s">
        <v>39</v>
      </c>
    </row>
    <row r="16" spans="2:31" x14ac:dyDescent="0.3">
      <c r="AC16" t="s">
        <v>37</v>
      </c>
    </row>
    <row r="17" spans="1:31" x14ac:dyDescent="0.3">
      <c r="B17" s="9" t="s">
        <v>1</v>
      </c>
      <c r="C17" s="13"/>
      <c r="D17" s="9"/>
      <c r="E17" s="9"/>
      <c r="F17" s="103" t="s">
        <v>5</v>
      </c>
      <c r="G17" s="104"/>
      <c r="H17" s="104"/>
      <c r="I17" s="104"/>
      <c r="J17" s="104"/>
      <c r="L17" s="9" t="s">
        <v>2</v>
      </c>
      <c r="M17" s="13"/>
      <c r="N17" s="9"/>
      <c r="O17" s="9"/>
      <c r="P17" s="103" t="s">
        <v>5</v>
      </c>
      <c r="Q17" s="104"/>
      <c r="R17" s="104"/>
      <c r="S17" s="104"/>
      <c r="T17" s="104"/>
    </row>
    <row r="18" spans="1:31" x14ac:dyDescent="0.3">
      <c r="B18" s="39" t="s">
        <v>10</v>
      </c>
      <c r="C18" s="45" t="s">
        <v>9</v>
      </c>
      <c r="D18" s="63" t="s">
        <v>21</v>
      </c>
      <c r="E18" s="13" t="s">
        <v>47</v>
      </c>
      <c r="F18" s="10" t="s">
        <v>11</v>
      </c>
      <c r="G18" s="11" t="s">
        <v>4</v>
      </c>
      <c r="H18" s="11" t="s">
        <v>6</v>
      </c>
      <c r="I18" s="11" t="s">
        <v>7</v>
      </c>
      <c r="J18" s="12" t="s">
        <v>8</v>
      </c>
      <c r="L18" s="9" t="s">
        <v>10</v>
      </c>
      <c r="M18" s="40" t="s">
        <v>9</v>
      </c>
      <c r="N18" s="57" t="s">
        <v>21</v>
      </c>
      <c r="O18" s="13" t="s">
        <v>47</v>
      </c>
      <c r="P18" s="10" t="s">
        <v>11</v>
      </c>
      <c r="Q18" s="11" t="s">
        <v>4</v>
      </c>
      <c r="R18" s="11" t="s">
        <v>6</v>
      </c>
      <c r="S18" s="11" t="s">
        <v>7</v>
      </c>
      <c r="T18" s="12" t="s">
        <v>8</v>
      </c>
      <c r="W18" s="9" t="s">
        <v>15</v>
      </c>
      <c r="X18" s="21" t="s">
        <v>16</v>
      </c>
      <c r="Y18" s="9" t="s">
        <v>15</v>
      </c>
      <c r="Z18" s="21" t="s">
        <v>16</v>
      </c>
      <c r="AC18" s="9" t="s">
        <v>15</v>
      </c>
      <c r="AD18" s="21" t="s">
        <v>16</v>
      </c>
      <c r="AE18" s="9"/>
    </row>
    <row r="19" spans="1:31" x14ac:dyDescent="0.3">
      <c r="A19">
        <v>1</v>
      </c>
      <c r="B19" s="26">
        <v>105</v>
      </c>
      <c r="C19" s="51" t="s">
        <v>25</v>
      </c>
      <c r="D19" s="58">
        <v>295</v>
      </c>
      <c r="E19">
        <v>54</v>
      </c>
      <c r="F19" s="70">
        <v>89</v>
      </c>
      <c r="G19" s="16"/>
      <c r="H19" s="16"/>
      <c r="I19" s="16"/>
      <c r="J19" s="17"/>
      <c r="L19" s="26">
        <v>105</v>
      </c>
      <c r="M19" s="51" t="s">
        <v>25</v>
      </c>
      <c r="N19" s="58">
        <v>328</v>
      </c>
      <c r="O19">
        <v>101</v>
      </c>
      <c r="P19" s="38"/>
      <c r="Q19" s="16"/>
      <c r="R19" s="16"/>
      <c r="S19" s="16"/>
      <c r="T19" s="17"/>
      <c r="W19" s="5">
        <v>2376.2800000000002</v>
      </c>
      <c r="X19" s="4">
        <v>105</v>
      </c>
      <c r="Y19" s="5"/>
      <c r="Z19" s="4"/>
      <c r="AC19" s="73">
        <v>2927.1</v>
      </c>
      <c r="AD19" s="73">
        <v>129</v>
      </c>
    </row>
    <row r="20" spans="1:31" x14ac:dyDescent="0.3">
      <c r="A20">
        <v>1</v>
      </c>
      <c r="B20" s="25">
        <v>107</v>
      </c>
      <c r="C20" s="52" t="s">
        <v>25</v>
      </c>
      <c r="D20" s="59">
        <v>296</v>
      </c>
      <c r="E20">
        <v>55</v>
      </c>
      <c r="F20" s="2">
        <v>89</v>
      </c>
      <c r="J20" s="4"/>
      <c r="L20" s="25">
        <v>107</v>
      </c>
      <c r="M20" s="52" t="s">
        <v>25</v>
      </c>
      <c r="N20" s="59">
        <v>329</v>
      </c>
      <c r="O20">
        <v>102</v>
      </c>
      <c r="P20" s="5"/>
      <c r="T20" s="4"/>
      <c r="W20" s="5">
        <v>2419.0500000000002</v>
      </c>
      <c r="X20" s="4">
        <v>107</v>
      </c>
      <c r="Y20" s="5"/>
      <c r="Z20" s="4"/>
      <c r="AC20" s="73">
        <v>3172.9</v>
      </c>
      <c r="AD20" s="73">
        <v>141</v>
      </c>
    </row>
    <row r="21" spans="1:31" x14ac:dyDescent="0.3">
      <c r="A21">
        <v>1</v>
      </c>
      <c r="B21" s="25">
        <v>120</v>
      </c>
      <c r="C21" s="52" t="s">
        <v>25</v>
      </c>
      <c r="D21" s="59">
        <v>297</v>
      </c>
      <c r="E21">
        <v>56</v>
      </c>
      <c r="F21" s="5"/>
      <c r="J21" s="4"/>
      <c r="L21" s="25">
        <v>120</v>
      </c>
      <c r="M21" s="52" t="s">
        <v>25</v>
      </c>
      <c r="N21" s="59">
        <v>330</v>
      </c>
      <c r="O21">
        <v>103</v>
      </c>
      <c r="P21" s="5"/>
      <c r="T21" s="4"/>
      <c r="W21" s="5">
        <v>2715.49</v>
      </c>
      <c r="X21" s="4">
        <v>120</v>
      </c>
      <c r="Y21" s="5"/>
      <c r="Z21" s="4"/>
      <c r="AC21" s="73">
        <v>3289.6</v>
      </c>
      <c r="AD21" s="73">
        <v>146</v>
      </c>
    </row>
    <row r="22" spans="1:31" x14ac:dyDescent="0.3">
      <c r="A22">
        <v>1</v>
      </c>
      <c r="B22" s="76">
        <v>126</v>
      </c>
      <c r="C22" s="77" t="s">
        <v>25</v>
      </c>
      <c r="D22" s="78">
        <v>298</v>
      </c>
      <c r="E22" s="79">
        <v>57</v>
      </c>
      <c r="F22" s="81">
        <v>11</v>
      </c>
      <c r="G22" s="79">
        <v>65</v>
      </c>
      <c r="H22" s="79">
        <v>65</v>
      </c>
      <c r="I22" s="79">
        <v>65</v>
      </c>
      <c r="J22" s="85"/>
      <c r="L22" s="76">
        <v>126</v>
      </c>
      <c r="M22" s="77" t="s">
        <v>25</v>
      </c>
      <c r="N22" s="78">
        <v>331</v>
      </c>
      <c r="O22" s="79">
        <v>104</v>
      </c>
      <c r="P22" s="2">
        <v>11</v>
      </c>
      <c r="T22" s="4"/>
      <c r="W22" s="5">
        <v>2837.83</v>
      </c>
      <c r="X22" s="4">
        <v>126</v>
      </c>
      <c r="Y22" s="48">
        <v>2837.83</v>
      </c>
      <c r="Z22" s="49">
        <v>126</v>
      </c>
      <c r="AC22" s="73">
        <v>3750.1</v>
      </c>
      <c r="AD22" s="73">
        <v>166</v>
      </c>
    </row>
    <row r="23" spans="1:31" x14ac:dyDescent="0.3">
      <c r="A23">
        <v>1</v>
      </c>
      <c r="B23" s="25">
        <v>130</v>
      </c>
      <c r="C23" s="52" t="s">
        <v>25</v>
      </c>
      <c r="D23" s="59">
        <v>299</v>
      </c>
      <c r="E23">
        <v>58</v>
      </c>
      <c r="F23" s="2">
        <v>54</v>
      </c>
      <c r="J23" s="4"/>
      <c r="L23" s="25">
        <v>130</v>
      </c>
      <c r="M23" s="52" t="s">
        <v>25</v>
      </c>
      <c r="N23" s="59">
        <v>332</v>
      </c>
      <c r="O23">
        <v>105</v>
      </c>
      <c r="P23" s="5"/>
      <c r="T23" s="4"/>
      <c r="W23" s="5">
        <v>2940.03</v>
      </c>
      <c r="X23" s="4">
        <v>130</v>
      </c>
      <c r="Y23" s="48"/>
      <c r="Z23" s="49"/>
      <c r="AC23" s="73">
        <v>3787.9</v>
      </c>
      <c r="AD23" s="73">
        <v>168</v>
      </c>
    </row>
    <row r="24" spans="1:31" x14ac:dyDescent="0.3">
      <c r="A24">
        <v>1</v>
      </c>
      <c r="B24" s="25">
        <v>134</v>
      </c>
      <c r="C24" s="52" t="s">
        <v>25</v>
      </c>
      <c r="D24" s="59">
        <v>300</v>
      </c>
      <c r="E24">
        <v>59</v>
      </c>
      <c r="F24" s="2">
        <v>54</v>
      </c>
      <c r="J24" s="4"/>
      <c r="L24" s="25">
        <v>134</v>
      </c>
      <c r="M24" s="52" t="s">
        <v>25</v>
      </c>
      <c r="N24" s="59">
        <v>333</v>
      </c>
      <c r="O24">
        <v>106</v>
      </c>
      <c r="P24" s="5"/>
      <c r="T24" s="4"/>
      <c r="W24" s="5">
        <v>3014.97</v>
      </c>
      <c r="X24" s="4">
        <v>134</v>
      </c>
      <c r="Y24" s="48"/>
      <c r="Z24" s="49"/>
      <c r="AC24" s="73">
        <v>4276.1000000000004</v>
      </c>
      <c r="AD24" s="73">
        <v>189</v>
      </c>
    </row>
    <row r="25" spans="1:31" x14ac:dyDescent="0.3">
      <c r="A25">
        <v>1</v>
      </c>
      <c r="B25" s="76">
        <v>141</v>
      </c>
      <c r="C25" s="77" t="s">
        <v>25</v>
      </c>
      <c r="D25" s="78">
        <v>301</v>
      </c>
      <c r="E25" s="79">
        <v>60</v>
      </c>
      <c r="F25" s="81">
        <v>11</v>
      </c>
      <c r="G25" s="79">
        <v>65</v>
      </c>
      <c r="H25" s="73"/>
      <c r="I25" s="73"/>
      <c r="J25" s="85"/>
      <c r="L25" s="76">
        <v>141</v>
      </c>
      <c r="M25" s="77" t="s">
        <v>25</v>
      </c>
      <c r="N25" s="78">
        <v>334</v>
      </c>
      <c r="O25" s="79">
        <v>107</v>
      </c>
      <c r="P25" s="2">
        <v>11</v>
      </c>
      <c r="T25" s="4"/>
      <c r="W25" s="5">
        <v>3172.86</v>
      </c>
      <c r="X25" s="22">
        <v>141</v>
      </c>
      <c r="Y25" s="48">
        <v>3172.86</v>
      </c>
      <c r="Z25" s="49">
        <v>141</v>
      </c>
      <c r="AC25" s="73">
        <v>4383.5</v>
      </c>
      <c r="AD25" s="73">
        <v>194</v>
      </c>
    </row>
    <row r="26" spans="1:31" x14ac:dyDescent="0.3">
      <c r="A26">
        <v>1</v>
      </c>
      <c r="B26" s="25">
        <v>142</v>
      </c>
      <c r="C26" s="52" t="s">
        <v>25</v>
      </c>
      <c r="D26" s="59">
        <v>302</v>
      </c>
      <c r="E26">
        <v>61</v>
      </c>
      <c r="F26" s="2">
        <v>54</v>
      </c>
      <c r="J26" s="4"/>
      <c r="L26" s="25">
        <v>142</v>
      </c>
      <c r="M26" s="52" t="s">
        <v>25</v>
      </c>
      <c r="N26" s="59">
        <v>335</v>
      </c>
      <c r="O26">
        <v>108</v>
      </c>
      <c r="P26" s="5"/>
      <c r="T26" s="4"/>
      <c r="W26" s="5">
        <v>3209.44</v>
      </c>
      <c r="X26" s="24">
        <v>142</v>
      </c>
      <c r="Y26" s="48"/>
      <c r="Z26" s="49"/>
      <c r="AC26" s="73">
        <v>4448.5</v>
      </c>
      <c r="AD26" s="73">
        <v>197</v>
      </c>
    </row>
    <row r="27" spans="1:31" x14ac:dyDescent="0.3">
      <c r="A27">
        <v>1</v>
      </c>
      <c r="B27" s="76">
        <v>146</v>
      </c>
      <c r="C27" s="77" t="s">
        <v>25</v>
      </c>
      <c r="D27" s="78">
        <v>303</v>
      </c>
      <c r="E27" s="79">
        <v>62</v>
      </c>
      <c r="F27" s="81">
        <v>11</v>
      </c>
      <c r="G27" s="73"/>
      <c r="H27" s="73"/>
      <c r="I27" s="73"/>
      <c r="J27" s="85"/>
      <c r="L27" s="76">
        <v>146</v>
      </c>
      <c r="M27" s="77" t="s">
        <v>25</v>
      </c>
      <c r="N27" s="78">
        <v>336</v>
      </c>
      <c r="O27" s="79">
        <v>109</v>
      </c>
      <c r="P27" s="2">
        <v>11</v>
      </c>
      <c r="T27" s="4"/>
      <c r="W27" s="5">
        <v>3289.57</v>
      </c>
      <c r="X27" s="4">
        <v>146</v>
      </c>
      <c r="Y27" s="48">
        <v>3289.57</v>
      </c>
      <c r="Z27" s="49">
        <v>146</v>
      </c>
    </row>
    <row r="28" spans="1:31" x14ac:dyDescent="0.3">
      <c r="A28">
        <v>1</v>
      </c>
      <c r="B28" s="25">
        <v>151</v>
      </c>
      <c r="C28" s="52" t="s">
        <v>25</v>
      </c>
      <c r="D28" s="59">
        <v>304</v>
      </c>
      <c r="E28">
        <v>63</v>
      </c>
      <c r="F28" s="2">
        <v>54</v>
      </c>
      <c r="J28" s="4"/>
      <c r="L28" s="25">
        <v>151</v>
      </c>
      <c r="M28" s="52" t="s">
        <v>25</v>
      </c>
      <c r="N28" s="59">
        <v>337</v>
      </c>
      <c r="O28">
        <v>110</v>
      </c>
      <c r="P28" s="5"/>
      <c r="T28" s="4"/>
      <c r="W28" s="64">
        <v>3414.35</v>
      </c>
      <c r="X28" s="84">
        <v>151</v>
      </c>
      <c r="Y28" t="s">
        <v>32</v>
      </c>
      <c r="Z28" s="55"/>
    </row>
    <row r="29" spans="1:31" x14ac:dyDescent="0.3">
      <c r="A29">
        <v>1</v>
      </c>
      <c r="B29" s="25">
        <v>156</v>
      </c>
      <c r="C29" s="52" t="s">
        <v>25</v>
      </c>
      <c r="D29" s="59">
        <v>305</v>
      </c>
      <c r="E29">
        <v>64</v>
      </c>
      <c r="F29" s="2">
        <v>67</v>
      </c>
      <c r="J29" s="4"/>
      <c r="L29" s="25">
        <v>156</v>
      </c>
      <c r="M29" s="52" t="s">
        <v>25</v>
      </c>
      <c r="N29" s="59">
        <v>338</v>
      </c>
      <c r="O29">
        <v>111</v>
      </c>
      <c r="P29" s="5"/>
      <c r="T29" s="4"/>
      <c r="W29" s="5">
        <v>3520.43</v>
      </c>
      <c r="X29" s="4">
        <v>156</v>
      </c>
      <c r="Y29" s="48"/>
      <c r="Z29" s="49"/>
    </row>
    <row r="30" spans="1:31" x14ac:dyDescent="0.3">
      <c r="A30">
        <v>1</v>
      </c>
      <c r="B30" s="50">
        <v>162</v>
      </c>
      <c r="C30" s="53" t="s">
        <v>25</v>
      </c>
      <c r="D30" s="60">
        <v>306</v>
      </c>
      <c r="E30" s="3">
        <v>65</v>
      </c>
      <c r="F30" s="2">
        <v>11</v>
      </c>
      <c r="J30" s="4"/>
      <c r="L30" s="50">
        <v>162</v>
      </c>
      <c r="M30" s="53" t="s">
        <v>25</v>
      </c>
      <c r="N30" s="60">
        <v>339</v>
      </c>
      <c r="O30" s="3">
        <v>112</v>
      </c>
      <c r="P30" s="2">
        <v>11</v>
      </c>
      <c r="T30" s="4"/>
      <c r="W30" s="5">
        <v>3650.93</v>
      </c>
      <c r="X30" s="22">
        <v>162</v>
      </c>
      <c r="Y30" s="48">
        <v>3650.93</v>
      </c>
      <c r="Z30" s="49">
        <v>162</v>
      </c>
    </row>
    <row r="31" spans="1:31" x14ac:dyDescent="0.3">
      <c r="A31">
        <v>1</v>
      </c>
      <c r="B31" s="25">
        <v>164</v>
      </c>
      <c r="C31" s="52" t="s">
        <v>25</v>
      </c>
      <c r="D31" s="59">
        <v>307</v>
      </c>
      <c r="E31">
        <v>66</v>
      </c>
      <c r="F31" s="2">
        <v>50</v>
      </c>
      <c r="J31" s="4"/>
      <c r="L31" s="25">
        <v>164</v>
      </c>
      <c r="M31" s="52" t="s">
        <v>25</v>
      </c>
      <c r="N31" s="59">
        <v>340</v>
      </c>
      <c r="O31">
        <v>113</v>
      </c>
      <c r="P31" s="2">
        <v>56</v>
      </c>
      <c r="T31" s="4"/>
      <c r="W31" s="5">
        <v>3693.76</v>
      </c>
      <c r="X31" s="23">
        <v>164</v>
      </c>
      <c r="Y31" s="48"/>
      <c r="Z31" s="49"/>
    </row>
    <row r="32" spans="1:31" x14ac:dyDescent="0.3">
      <c r="A32">
        <v>1</v>
      </c>
      <c r="B32" s="74">
        <v>166</v>
      </c>
      <c r="C32" s="74" t="s">
        <v>25</v>
      </c>
      <c r="D32" s="75">
        <v>308</v>
      </c>
      <c r="E32" s="79">
        <v>67</v>
      </c>
      <c r="F32" s="81">
        <v>50</v>
      </c>
      <c r="G32" s="79">
        <v>65</v>
      </c>
      <c r="H32" s="79">
        <v>99</v>
      </c>
      <c r="I32" s="73"/>
      <c r="J32" s="85"/>
      <c r="L32" s="74">
        <v>166</v>
      </c>
      <c r="M32" s="74" t="s">
        <v>25</v>
      </c>
      <c r="N32" s="75">
        <v>341</v>
      </c>
      <c r="O32" s="73">
        <v>114</v>
      </c>
      <c r="P32" s="2">
        <v>56</v>
      </c>
      <c r="T32" s="4"/>
      <c r="W32" s="5">
        <v>3752.1</v>
      </c>
      <c r="X32" s="23">
        <v>166</v>
      </c>
      <c r="Y32" s="48"/>
      <c r="Z32" s="49"/>
    </row>
    <row r="33" spans="1:26" x14ac:dyDescent="0.3">
      <c r="A33">
        <v>1</v>
      </c>
      <c r="B33" s="25">
        <v>167</v>
      </c>
      <c r="C33" s="52" t="s">
        <v>25</v>
      </c>
      <c r="D33" s="59">
        <v>309</v>
      </c>
      <c r="E33">
        <v>68</v>
      </c>
      <c r="F33" s="2">
        <v>50</v>
      </c>
      <c r="J33" s="4"/>
      <c r="L33" s="25">
        <v>167</v>
      </c>
      <c r="M33" s="52" t="s">
        <v>25</v>
      </c>
      <c r="N33" s="59">
        <v>342</v>
      </c>
      <c r="O33">
        <v>115</v>
      </c>
      <c r="P33" s="2">
        <v>56</v>
      </c>
      <c r="T33" s="4"/>
      <c r="W33" s="5">
        <v>3766.97</v>
      </c>
      <c r="X33" s="23">
        <v>167</v>
      </c>
      <c r="Y33" s="48"/>
      <c r="Z33" s="49"/>
    </row>
    <row r="34" spans="1:26" x14ac:dyDescent="0.3">
      <c r="A34">
        <v>1</v>
      </c>
      <c r="B34" s="74">
        <v>168</v>
      </c>
      <c r="C34" s="74" t="s">
        <v>25</v>
      </c>
      <c r="D34" s="75">
        <v>310</v>
      </c>
      <c r="E34" s="79">
        <v>69</v>
      </c>
      <c r="F34" s="81">
        <v>50</v>
      </c>
      <c r="G34" s="79">
        <v>87</v>
      </c>
      <c r="H34" s="79">
        <v>99</v>
      </c>
      <c r="I34" s="73"/>
      <c r="J34" s="85"/>
      <c r="L34" s="74">
        <v>168</v>
      </c>
      <c r="M34" s="74" t="s">
        <v>25</v>
      </c>
      <c r="N34" s="75">
        <v>343</v>
      </c>
      <c r="O34" s="73">
        <v>116</v>
      </c>
      <c r="P34" s="2">
        <v>56</v>
      </c>
      <c r="T34" s="4"/>
      <c r="W34" s="5">
        <v>3784.4</v>
      </c>
      <c r="X34" s="23">
        <v>168</v>
      </c>
      <c r="Y34" s="48"/>
      <c r="Z34" s="49"/>
    </row>
    <row r="35" spans="1:26" x14ac:dyDescent="0.3">
      <c r="A35">
        <v>1</v>
      </c>
      <c r="B35" s="25">
        <v>169</v>
      </c>
      <c r="C35" s="52" t="s">
        <v>25</v>
      </c>
      <c r="D35" s="59">
        <v>311</v>
      </c>
      <c r="E35">
        <v>70</v>
      </c>
      <c r="F35" s="2">
        <v>49</v>
      </c>
      <c r="G35" s="3">
        <v>87</v>
      </c>
      <c r="J35" s="4"/>
      <c r="L35" s="25">
        <v>169</v>
      </c>
      <c r="M35" s="52" t="s">
        <v>25</v>
      </c>
      <c r="N35" s="59">
        <v>344</v>
      </c>
      <c r="O35">
        <v>117</v>
      </c>
      <c r="P35" s="2">
        <v>61</v>
      </c>
      <c r="T35" s="4"/>
      <c r="W35" s="5">
        <v>3787.87</v>
      </c>
      <c r="X35" s="23"/>
      <c r="Y35" s="48"/>
      <c r="Z35" s="49"/>
    </row>
    <row r="36" spans="1:26" x14ac:dyDescent="0.3">
      <c r="A36">
        <v>1</v>
      </c>
      <c r="B36" s="25">
        <v>171</v>
      </c>
      <c r="C36" s="52" t="s">
        <v>25</v>
      </c>
      <c r="D36" s="59">
        <v>312</v>
      </c>
      <c r="E36">
        <v>71</v>
      </c>
      <c r="F36" s="2">
        <v>58</v>
      </c>
      <c r="J36" s="4"/>
      <c r="L36" s="25">
        <v>171</v>
      </c>
      <c r="M36" s="52" t="s">
        <v>25</v>
      </c>
      <c r="N36" s="59">
        <v>345</v>
      </c>
      <c r="O36">
        <v>118</v>
      </c>
      <c r="P36" s="2">
        <v>61</v>
      </c>
      <c r="T36" s="4"/>
      <c r="W36" s="5">
        <v>3812.53</v>
      </c>
      <c r="X36" s="23">
        <v>169</v>
      </c>
      <c r="Y36" s="48"/>
      <c r="Z36" s="49"/>
    </row>
    <row r="37" spans="1:26" x14ac:dyDescent="0.3">
      <c r="A37">
        <v>1</v>
      </c>
      <c r="B37" s="25">
        <v>172</v>
      </c>
      <c r="C37" s="52" t="s">
        <v>25</v>
      </c>
      <c r="D37" s="59">
        <v>313</v>
      </c>
      <c r="E37">
        <v>72</v>
      </c>
      <c r="F37" s="2">
        <v>58</v>
      </c>
      <c r="J37" s="4"/>
      <c r="L37" s="25">
        <v>172</v>
      </c>
      <c r="M37" s="52" t="s">
        <v>25</v>
      </c>
      <c r="N37" s="59">
        <v>346</v>
      </c>
      <c r="O37">
        <v>119</v>
      </c>
      <c r="P37" s="5"/>
      <c r="T37" s="4"/>
      <c r="W37" s="5">
        <v>3866.75</v>
      </c>
      <c r="X37" s="23">
        <v>171</v>
      </c>
      <c r="Y37" s="48"/>
      <c r="Z37" s="49"/>
    </row>
    <row r="38" spans="1:26" x14ac:dyDescent="0.3">
      <c r="A38">
        <v>1</v>
      </c>
      <c r="B38" s="25">
        <v>178</v>
      </c>
      <c r="C38" s="52" t="s">
        <v>25</v>
      </c>
      <c r="D38" s="59">
        <v>314</v>
      </c>
      <c r="E38">
        <v>73</v>
      </c>
      <c r="F38" s="2">
        <v>61</v>
      </c>
      <c r="J38" s="4"/>
      <c r="L38" s="25">
        <v>178</v>
      </c>
      <c r="M38" s="52" t="s">
        <v>25</v>
      </c>
      <c r="N38" s="59">
        <v>347</v>
      </c>
      <c r="O38">
        <v>120</v>
      </c>
      <c r="P38" s="5"/>
      <c r="T38" s="4"/>
      <c r="W38" s="5">
        <v>3899.11</v>
      </c>
      <c r="X38" s="24">
        <v>172</v>
      </c>
      <c r="Y38" s="48"/>
      <c r="Z38" s="49"/>
    </row>
    <row r="39" spans="1:26" x14ac:dyDescent="0.3">
      <c r="A39">
        <v>1</v>
      </c>
      <c r="B39" s="25">
        <v>180</v>
      </c>
      <c r="C39" s="52" t="s">
        <v>25</v>
      </c>
      <c r="D39" s="59">
        <v>315</v>
      </c>
      <c r="E39">
        <v>74</v>
      </c>
      <c r="F39" s="2">
        <v>61</v>
      </c>
      <c r="G39" s="3">
        <v>64</v>
      </c>
      <c r="J39" s="4"/>
      <c r="L39" s="25">
        <v>180</v>
      </c>
      <c r="M39" s="52" t="s">
        <v>25</v>
      </c>
      <c r="N39" s="59">
        <v>348</v>
      </c>
      <c r="O39">
        <v>121</v>
      </c>
      <c r="P39" s="5"/>
      <c r="T39" s="4"/>
      <c r="W39" s="5">
        <v>4021.33</v>
      </c>
      <c r="X39" s="22">
        <v>178</v>
      </c>
      <c r="Y39" s="48"/>
      <c r="Z39" s="49"/>
    </row>
    <row r="40" spans="1:26" x14ac:dyDescent="0.3">
      <c r="A40">
        <v>1</v>
      </c>
      <c r="B40" s="25">
        <v>182</v>
      </c>
      <c r="C40" s="52" t="s">
        <v>25</v>
      </c>
      <c r="D40" s="59">
        <v>316</v>
      </c>
      <c r="E40">
        <v>75</v>
      </c>
      <c r="F40" s="2">
        <v>64</v>
      </c>
      <c r="J40" s="4"/>
      <c r="L40" s="25">
        <v>182</v>
      </c>
      <c r="M40" s="52" t="s">
        <v>25</v>
      </c>
      <c r="N40" s="59">
        <v>349</v>
      </c>
      <c r="O40">
        <v>122</v>
      </c>
      <c r="P40" s="5"/>
      <c r="T40" s="4"/>
      <c r="W40" s="5">
        <v>4069.49</v>
      </c>
      <c r="X40" s="23">
        <v>180</v>
      </c>
      <c r="Y40" s="48"/>
      <c r="Z40" s="49"/>
    </row>
    <row r="41" spans="1:26" x14ac:dyDescent="0.3">
      <c r="A41">
        <v>1</v>
      </c>
      <c r="B41" s="74">
        <v>188</v>
      </c>
      <c r="C41" s="74" t="s">
        <v>25</v>
      </c>
      <c r="D41" s="75">
        <v>317</v>
      </c>
      <c r="E41" s="79">
        <v>76</v>
      </c>
      <c r="F41" s="81">
        <v>45</v>
      </c>
      <c r="G41" s="79">
        <v>49</v>
      </c>
      <c r="H41" s="79">
        <v>64</v>
      </c>
      <c r="I41" s="73"/>
      <c r="J41" s="85"/>
      <c r="L41" s="74">
        <v>188</v>
      </c>
      <c r="M41" s="74" t="s">
        <v>25</v>
      </c>
      <c r="N41" s="75">
        <v>350</v>
      </c>
      <c r="O41" s="73">
        <v>123</v>
      </c>
      <c r="P41" s="5"/>
      <c r="T41" s="4"/>
      <c r="W41" s="5">
        <v>4101.55</v>
      </c>
      <c r="X41" s="24">
        <v>182</v>
      </c>
      <c r="Y41" s="48"/>
      <c r="Z41" s="49"/>
    </row>
    <row r="42" spans="1:26" x14ac:dyDescent="0.3">
      <c r="A42">
        <v>1</v>
      </c>
      <c r="B42" s="25">
        <v>191</v>
      </c>
      <c r="C42" s="52" t="s">
        <v>25</v>
      </c>
      <c r="D42" s="59">
        <v>318</v>
      </c>
      <c r="E42">
        <v>77</v>
      </c>
      <c r="F42" s="2">
        <v>43</v>
      </c>
      <c r="G42" s="3">
        <v>49</v>
      </c>
      <c r="H42" s="3">
        <v>64</v>
      </c>
      <c r="J42" s="4"/>
      <c r="L42" s="25">
        <v>191</v>
      </c>
      <c r="M42" s="52" t="s">
        <v>25</v>
      </c>
      <c r="N42" s="59">
        <v>351</v>
      </c>
      <c r="O42">
        <v>124</v>
      </c>
      <c r="P42" s="2">
        <v>43</v>
      </c>
      <c r="T42" s="4"/>
      <c r="W42" s="5">
        <v>4242.13</v>
      </c>
      <c r="X42" s="4">
        <v>188</v>
      </c>
      <c r="Y42" s="48"/>
      <c r="Z42" s="49"/>
    </row>
    <row r="43" spans="1:26" x14ac:dyDescent="0.3">
      <c r="A43">
        <v>1</v>
      </c>
      <c r="B43" s="76">
        <v>194</v>
      </c>
      <c r="C43" s="77" t="s">
        <v>25</v>
      </c>
      <c r="D43" s="78">
        <v>319</v>
      </c>
      <c r="E43" s="79">
        <v>78</v>
      </c>
      <c r="F43" s="81">
        <v>13</v>
      </c>
      <c r="G43" s="79">
        <v>43</v>
      </c>
      <c r="H43" s="79">
        <v>49</v>
      </c>
      <c r="I43" s="73"/>
      <c r="J43" s="85"/>
      <c r="L43" s="76">
        <v>194</v>
      </c>
      <c r="M43" s="77" t="s">
        <v>25</v>
      </c>
      <c r="N43" s="78">
        <v>352</v>
      </c>
      <c r="O43" s="79">
        <v>125</v>
      </c>
      <c r="P43" s="2">
        <v>13</v>
      </c>
      <c r="Q43" s="3">
        <v>43</v>
      </c>
      <c r="T43" s="4"/>
      <c r="W43" s="5">
        <v>4319.49</v>
      </c>
      <c r="X43" s="4">
        <v>191</v>
      </c>
      <c r="Y43" s="48"/>
      <c r="Z43" s="49"/>
    </row>
    <row r="44" spans="1:26" x14ac:dyDescent="0.3">
      <c r="A44">
        <v>1</v>
      </c>
      <c r="B44" s="25">
        <v>196</v>
      </c>
      <c r="C44" s="52" t="s">
        <v>25</v>
      </c>
      <c r="D44" s="59">
        <v>320</v>
      </c>
      <c r="E44">
        <v>79</v>
      </c>
      <c r="F44" s="2">
        <v>67</v>
      </c>
      <c r="J44" s="4"/>
      <c r="L44" s="25">
        <v>196</v>
      </c>
      <c r="M44" s="52" t="s">
        <v>25</v>
      </c>
      <c r="N44" s="59">
        <v>353</v>
      </c>
      <c r="O44">
        <v>126</v>
      </c>
      <c r="P44" s="5"/>
      <c r="T44" s="4"/>
      <c r="W44" s="5">
        <v>4383.21</v>
      </c>
      <c r="X44" s="22">
        <v>194</v>
      </c>
      <c r="Y44" s="48">
        <v>4383.21</v>
      </c>
      <c r="Z44" s="49">
        <v>194</v>
      </c>
    </row>
    <row r="45" spans="1:26" x14ac:dyDescent="0.3">
      <c r="A45">
        <v>1</v>
      </c>
      <c r="B45" s="74">
        <v>197</v>
      </c>
      <c r="C45" s="74" t="s">
        <v>25</v>
      </c>
      <c r="D45" s="75">
        <v>321</v>
      </c>
      <c r="E45" s="79">
        <v>80</v>
      </c>
      <c r="F45" s="81">
        <v>65</v>
      </c>
      <c r="G45" s="79">
        <v>112</v>
      </c>
      <c r="H45" s="73"/>
      <c r="I45" s="73"/>
      <c r="J45" s="85"/>
      <c r="L45" s="74">
        <v>197</v>
      </c>
      <c r="M45" s="74" t="s">
        <v>25</v>
      </c>
      <c r="N45" s="75">
        <v>354</v>
      </c>
      <c r="O45" s="73">
        <v>127</v>
      </c>
      <c r="P45" s="5"/>
      <c r="T45" s="4"/>
      <c r="W45" s="5">
        <v>4410.74</v>
      </c>
      <c r="X45" s="23">
        <v>196</v>
      </c>
      <c r="Y45" s="5"/>
      <c r="Z45" s="4"/>
    </row>
    <row r="46" spans="1:26" x14ac:dyDescent="0.3">
      <c r="A46">
        <v>1</v>
      </c>
      <c r="B46" s="25">
        <v>199</v>
      </c>
      <c r="C46" s="52" t="s">
        <v>25</v>
      </c>
      <c r="D46" s="59">
        <v>322</v>
      </c>
      <c r="E46">
        <v>81</v>
      </c>
      <c r="F46" s="2">
        <v>112</v>
      </c>
      <c r="J46" s="4"/>
      <c r="L46" s="25">
        <v>199</v>
      </c>
      <c r="M46" s="52" t="s">
        <v>25</v>
      </c>
      <c r="N46" s="59">
        <v>355</v>
      </c>
      <c r="O46">
        <v>128</v>
      </c>
      <c r="P46" s="5"/>
      <c r="T46" s="4"/>
      <c r="W46" s="5">
        <v>4435.82</v>
      </c>
      <c r="X46" s="23">
        <v>197</v>
      </c>
      <c r="Y46" s="5"/>
      <c r="Z46" s="4"/>
    </row>
    <row r="47" spans="1:26" x14ac:dyDescent="0.3">
      <c r="A47">
        <v>1</v>
      </c>
      <c r="B47" s="25">
        <v>201</v>
      </c>
      <c r="C47" s="52" t="s">
        <v>25</v>
      </c>
      <c r="D47" s="59">
        <v>323</v>
      </c>
      <c r="E47">
        <v>82</v>
      </c>
      <c r="F47" s="2">
        <v>99</v>
      </c>
      <c r="G47" s="3">
        <v>103</v>
      </c>
      <c r="H47" s="3">
        <v>112</v>
      </c>
      <c r="J47" s="4"/>
      <c r="L47" s="25">
        <v>201</v>
      </c>
      <c r="M47" s="52" t="s">
        <v>25</v>
      </c>
      <c r="N47" s="59">
        <v>356</v>
      </c>
      <c r="O47">
        <v>129</v>
      </c>
      <c r="P47" s="5"/>
      <c r="T47" s="4"/>
      <c r="W47" s="5">
        <v>4448.5200000000004</v>
      </c>
      <c r="X47" s="23"/>
      <c r="Y47" s="5"/>
      <c r="Z47" s="4"/>
    </row>
    <row r="48" spans="1:26" x14ac:dyDescent="0.3">
      <c r="A48">
        <v>1</v>
      </c>
      <c r="B48" s="34">
        <v>210</v>
      </c>
      <c r="C48" s="54" t="s">
        <v>25</v>
      </c>
      <c r="D48" s="61">
        <v>324</v>
      </c>
      <c r="E48">
        <v>83</v>
      </c>
      <c r="F48" s="69">
        <v>99</v>
      </c>
      <c r="G48" s="18">
        <v>103</v>
      </c>
      <c r="H48" s="18">
        <v>112</v>
      </c>
      <c r="I48" s="7"/>
      <c r="J48" s="8"/>
      <c r="L48" s="34">
        <v>210</v>
      </c>
      <c r="M48" s="54" t="s">
        <v>25</v>
      </c>
      <c r="N48" s="61">
        <v>357</v>
      </c>
      <c r="O48">
        <v>130</v>
      </c>
      <c r="P48" s="6"/>
      <c r="Q48" s="7"/>
      <c r="R48" s="7"/>
      <c r="S48" s="7"/>
      <c r="T48" s="8"/>
      <c r="W48" s="5">
        <v>4491.71</v>
      </c>
      <c r="X48" s="23">
        <v>199</v>
      </c>
      <c r="Y48" s="5"/>
      <c r="Z48" s="4"/>
    </row>
    <row r="49" spans="1:26" x14ac:dyDescent="0.3">
      <c r="W49" s="5">
        <v>4526.9799999999996</v>
      </c>
      <c r="X49" s="24">
        <v>201</v>
      </c>
      <c r="Y49" s="6"/>
      <c r="Z49" s="8"/>
    </row>
    <row r="50" spans="1:26" ht="18" x14ac:dyDescent="0.35">
      <c r="B50" s="14" t="s">
        <v>0</v>
      </c>
      <c r="C50" s="14" t="s">
        <v>13</v>
      </c>
      <c r="D50" s="14"/>
      <c r="E50" s="1"/>
      <c r="F50" s="1"/>
      <c r="G50" s="1"/>
    </row>
    <row r="51" spans="1:26" x14ac:dyDescent="0.3">
      <c r="B51" s="1"/>
      <c r="C51" s="1"/>
      <c r="D51" s="1"/>
      <c r="E51" s="1"/>
      <c r="F51" s="1"/>
      <c r="G51" s="1"/>
      <c r="W51" t="s">
        <v>19</v>
      </c>
    </row>
    <row r="52" spans="1:26" x14ac:dyDescent="0.3">
      <c r="B52" s="9" t="s">
        <v>1</v>
      </c>
      <c r="C52" s="13"/>
      <c r="D52" s="9"/>
      <c r="E52" s="9"/>
      <c r="F52" s="103" t="s">
        <v>5</v>
      </c>
      <c r="G52" s="104"/>
      <c r="H52" s="104"/>
      <c r="I52" s="104"/>
      <c r="J52" s="104"/>
      <c r="L52" s="9" t="s">
        <v>2</v>
      </c>
      <c r="M52" s="13"/>
      <c r="N52" s="9"/>
      <c r="O52" s="9"/>
      <c r="P52" s="103" t="s">
        <v>5</v>
      </c>
      <c r="Q52" s="104"/>
      <c r="R52" s="104"/>
      <c r="S52" s="104"/>
      <c r="T52" s="104"/>
    </row>
    <row r="53" spans="1:26" x14ac:dyDescent="0.3">
      <c r="B53" s="9" t="s">
        <v>10</v>
      </c>
      <c r="C53" s="40" t="s">
        <v>9</v>
      </c>
      <c r="D53" s="57" t="s">
        <v>21</v>
      </c>
      <c r="E53" s="13" t="s">
        <v>27</v>
      </c>
      <c r="F53" s="10" t="s">
        <v>11</v>
      </c>
      <c r="G53" s="11" t="s">
        <v>4</v>
      </c>
      <c r="H53" s="11" t="s">
        <v>6</v>
      </c>
      <c r="I53" s="11" t="s">
        <v>7</v>
      </c>
      <c r="J53" s="12" t="s">
        <v>8</v>
      </c>
      <c r="L53" s="9" t="s">
        <v>10</v>
      </c>
      <c r="M53" s="40" t="s">
        <v>9</v>
      </c>
      <c r="N53" s="57" t="s">
        <v>21</v>
      </c>
      <c r="O53" s="13" t="s">
        <v>27</v>
      </c>
      <c r="P53" s="10" t="s">
        <v>11</v>
      </c>
      <c r="Q53" s="11" t="s">
        <v>4</v>
      </c>
      <c r="R53" s="11" t="s">
        <v>6</v>
      </c>
      <c r="S53" s="11" t="s">
        <v>7</v>
      </c>
      <c r="T53" s="12" t="s">
        <v>8</v>
      </c>
    </row>
    <row r="54" spans="1:26" x14ac:dyDescent="0.3">
      <c r="A54">
        <v>2</v>
      </c>
      <c r="B54" s="5">
        <v>119</v>
      </c>
      <c r="C54" s="42">
        <v>310</v>
      </c>
      <c r="D54" s="58">
        <v>332</v>
      </c>
      <c r="E54">
        <v>87</v>
      </c>
      <c r="F54" s="2">
        <v>4</v>
      </c>
      <c r="J54" s="4"/>
      <c r="L54" s="5">
        <v>119</v>
      </c>
      <c r="M54" s="42">
        <v>343</v>
      </c>
      <c r="N54" s="62">
        <v>365</v>
      </c>
      <c r="O54">
        <v>134</v>
      </c>
      <c r="P54" s="2">
        <v>6</v>
      </c>
      <c r="T54" s="4"/>
    </row>
    <row r="55" spans="1:26" x14ac:dyDescent="0.3">
      <c r="A55">
        <v>2</v>
      </c>
      <c r="B55" s="5">
        <f>B54+3</f>
        <v>122</v>
      </c>
      <c r="C55" s="42">
        <f>C54+2</f>
        <v>312</v>
      </c>
      <c r="D55" s="59">
        <v>333</v>
      </c>
      <c r="E55">
        <v>88</v>
      </c>
      <c r="F55" s="5"/>
      <c r="J55" s="4"/>
      <c r="L55" s="5">
        <f>L54+3</f>
        <v>122</v>
      </c>
      <c r="M55" s="42">
        <f>M54+2</f>
        <v>345</v>
      </c>
      <c r="N55" s="59">
        <v>366</v>
      </c>
      <c r="O55">
        <v>135</v>
      </c>
      <c r="P55" s="5"/>
      <c r="T55" s="4"/>
    </row>
    <row r="56" spans="1:26" x14ac:dyDescent="0.3">
      <c r="A56">
        <v>2</v>
      </c>
      <c r="B56" s="29">
        <f t="shared" ref="B56:B82" si="0">B55+3</f>
        <v>125</v>
      </c>
      <c r="C56" s="41">
        <f t="shared" ref="C56:C82" si="1">C55+2</f>
        <v>314</v>
      </c>
      <c r="D56" s="60">
        <v>334</v>
      </c>
      <c r="E56" s="3">
        <v>89</v>
      </c>
      <c r="F56" s="29">
        <v>8</v>
      </c>
      <c r="G56" s="32">
        <v>9</v>
      </c>
      <c r="H56" s="30"/>
      <c r="I56" s="30"/>
      <c r="J56" s="31"/>
      <c r="K56" s="30"/>
      <c r="L56" s="29">
        <f t="shared" ref="L56:L82" si="2">L55+3</f>
        <v>125</v>
      </c>
      <c r="M56" s="41">
        <f t="shared" ref="M56:M82" si="3">M55+2</f>
        <v>347</v>
      </c>
      <c r="N56" s="60">
        <v>367</v>
      </c>
      <c r="O56" s="3">
        <v>136</v>
      </c>
      <c r="P56" s="29">
        <v>8</v>
      </c>
      <c r="Q56" s="32">
        <v>9</v>
      </c>
      <c r="R56" s="30"/>
      <c r="S56" s="30"/>
      <c r="T56" s="31"/>
    </row>
    <row r="57" spans="1:26" x14ac:dyDescent="0.3">
      <c r="A57">
        <v>2</v>
      </c>
      <c r="B57" s="35">
        <f t="shared" si="0"/>
        <v>128</v>
      </c>
      <c r="C57" s="74">
        <f t="shared" si="1"/>
        <v>316</v>
      </c>
      <c r="D57" s="75">
        <v>335</v>
      </c>
      <c r="E57" s="73">
        <v>90</v>
      </c>
      <c r="F57" s="5"/>
      <c r="J57" s="4"/>
      <c r="L57" s="35">
        <f t="shared" si="2"/>
        <v>128</v>
      </c>
      <c r="M57" s="74">
        <f t="shared" si="3"/>
        <v>349</v>
      </c>
      <c r="N57" s="75">
        <v>368</v>
      </c>
      <c r="O57" s="73">
        <v>137</v>
      </c>
      <c r="P57" s="5"/>
      <c r="T57" s="4"/>
    </row>
    <row r="58" spans="1:26" x14ac:dyDescent="0.3">
      <c r="A58">
        <v>2</v>
      </c>
      <c r="B58" s="5">
        <f t="shared" si="0"/>
        <v>131</v>
      </c>
      <c r="C58" s="42">
        <f t="shared" si="1"/>
        <v>318</v>
      </c>
      <c r="D58" s="59">
        <v>336</v>
      </c>
      <c r="E58">
        <v>91</v>
      </c>
      <c r="F58" s="5"/>
      <c r="J58" s="4"/>
      <c r="L58" s="5">
        <f t="shared" si="2"/>
        <v>131</v>
      </c>
      <c r="M58" s="42">
        <f t="shared" si="3"/>
        <v>351</v>
      </c>
      <c r="N58" s="59">
        <v>369</v>
      </c>
      <c r="O58">
        <v>138</v>
      </c>
      <c r="P58" s="5"/>
      <c r="T58" s="4"/>
    </row>
    <row r="59" spans="1:26" x14ac:dyDescent="0.3">
      <c r="A59">
        <v>2</v>
      </c>
      <c r="B59" s="5">
        <f t="shared" si="0"/>
        <v>134</v>
      </c>
      <c r="C59" s="42">
        <f t="shared" si="1"/>
        <v>320</v>
      </c>
      <c r="D59" s="59">
        <v>337</v>
      </c>
      <c r="E59">
        <v>92</v>
      </c>
      <c r="F59" s="2">
        <v>6</v>
      </c>
      <c r="J59" s="4"/>
      <c r="L59" s="5">
        <f t="shared" si="2"/>
        <v>134</v>
      </c>
      <c r="M59" s="42">
        <f t="shared" si="3"/>
        <v>353</v>
      </c>
      <c r="N59" s="59">
        <v>370</v>
      </c>
      <c r="O59">
        <v>139</v>
      </c>
      <c r="P59" s="2">
        <v>6</v>
      </c>
      <c r="T59" s="4"/>
    </row>
    <row r="60" spans="1:26" x14ac:dyDescent="0.3">
      <c r="A60">
        <v>2</v>
      </c>
      <c r="B60" s="5">
        <f t="shared" si="0"/>
        <v>137</v>
      </c>
      <c r="C60" s="42">
        <f t="shared" si="1"/>
        <v>322</v>
      </c>
      <c r="D60" s="59">
        <v>338</v>
      </c>
      <c r="E60">
        <v>93</v>
      </c>
      <c r="F60" s="5"/>
      <c r="J60" s="4"/>
      <c r="L60" s="5">
        <f t="shared" si="2"/>
        <v>137</v>
      </c>
      <c r="M60" s="42">
        <f t="shared" si="3"/>
        <v>355</v>
      </c>
      <c r="N60" s="59">
        <v>371</v>
      </c>
      <c r="O60">
        <v>140</v>
      </c>
      <c r="P60" s="5"/>
      <c r="T60" s="4"/>
    </row>
    <row r="61" spans="1:26" x14ac:dyDescent="0.3">
      <c r="A61">
        <v>2</v>
      </c>
      <c r="B61" s="80">
        <f t="shared" si="0"/>
        <v>140</v>
      </c>
      <c r="C61" s="77">
        <f t="shared" si="1"/>
        <v>324</v>
      </c>
      <c r="D61" s="78">
        <v>339</v>
      </c>
      <c r="E61" s="79">
        <v>94</v>
      </c>
      <c r="F61" s="29">
        <v>7</v>
      </c>
      <c r="G61" s="32">
        <v>9</v>
      </c>
      <c r="H61" s="30"/>
      <c r="I61" s="30"/>
      <c r="J61" s="31"/>
      <c r="K61" s="30"/>
      <c r="L61" s="80">
        <f t="shared" si="2"/>
        <v>140</v>
      </c>
      <c r="M61" s="77">
        <f t="shared" si="3"/>
        <v>357</v>
      </c>
      <c r="N61" s="78">
        <v>372</v>
      </c>
      <c r="O61" s="79">
        <v>141</v>
      </c>
      <c r="P61" s="29">
        <v>7</v>
      </c>
      <c r="Q61" s="32">
        <v>9</v>
      </c>
      <c r="R61" s="30"/>
      <c r="S61" s="30"/>
      <c r="T61" s="31"/>
    </row>
    <row r="62" spans="1:26" x14ac:dyDescent="0.3">
      <c r="A62">
        <v>2</v>
      </c>
      <c r="B62" s="5">
        <f t="shared" si="0"/>
        <v>143</v>
      </c>
      <c r="C62" s="42">
        <f t="shared" si="1"/>
        <v>326</v>
      </c>
      <c r="D62" s="59">
        <v>340</v>
      </c>
      <c r="E62">
        <v>95</v>
      </c>
      <c r="F62" s="5"/>
      <c r="J62" s="4"/>
      <c r="L62" s="5">
        <f t="shared" si="2"/>
        <v>143</v>
      </c>
      <c r="M62" s="42">
        <f t="shared" si="3"/>
        <v>359</v>
      </c>
      <c r="N62" s="59">
        <v>373</v>
      </c>
      <c r="O62">
        <v>142</v>
      </c>
      <c r="P62" s="5"/>
      <c r="T62" s="4"/>
    </row>
    <row r="63" spans="1:26" x14ac:dyDescent="0.3">
      <c r="A63">
        <v>2</v>
      </c>
      <c r="B63" s="80">
        <f t="shared" si="0"/>
        <v>146</v>
      </c>
      <c r="C63" s="77">
        <f t="shared" si="1"/>
        <v>328</v>
      </c>
      <c r="D63" s="78">
        <v>341</v>
      </c>
      <c r="E63" s="79">
        <v>96</v>
      </c>
      <c r="F63" s="29">
        <v>8</v>
      </c>
      <c r="G63" s="32">
        <v>9</v>
      </c>
      <c r="H63" s="30"/>
      <c r="I63" s="30"/>
      <c r="J63" s="31"/>
      <c r="K63" s="30"/>
      <c r="L63" s="80">
        <f t="shared" si="2"/>
        <v>146</v>
      </c>
      <c r="M63" s="77">
        <f t="shared" si="3"/>
        <v>361</v>
      </c>
      <c r="N63" s="78">
        <v>374</v>
      </c>
      <c r="O63" s="79">
        <v>143</v>
      </c>
      <c r="P63" s="29">
        <v>8</v>
      </c>
      <c r="Q63" s="32">
        <v>9</v>
      </c>
      <c r="R63" s="30"/>
      <c r="S63" s="30"/>
      <c r="T63" s="31"/>
    </row>
    <row r="64" spans="1:26" x14ac:dyDescent="0.3">
      <c r="A64">
        <v>2</v>
      </c>
      <c r="B64" s="5">
        <f t="shared" si="0"/>
        <v>149</v>
      </c>
      <c r="C64" s="42">
        <f t="shared" si="1"/>
        <v>330</v>
      </c>
      <c r="D64" s="59">
        <v>342</v>
      </c>
      <c r="E64">
        <v>97</v>
      </c>
      <c r="F64" s="5"/>
      <c r="J64" s="4"/>
      <c r="L64" s="5">
        <f t="shared" si="2"/>
        <v>149</v>
      </c>
      <c r="M64" s="42">
        <f t="shared" si="3"/>
        <v>363</v>
      </c>
      <c r="N64" s="59">
        <v>375</v>
      </c>
      <c r="O64">
        <v>144</v>
      </c>
      <c r="P64" s="5"/>
      <c r="T64" s="4"/>
    </row>
    <row r="65" spans="1:20" x14ac:dyDescent="0.3">
      <c r="A65">
        <v>2</v>
      </c>
      <c r="B65" s="5">
        <f t="shared" si="0"/>
        <v>152</v>
      </c>
      <c r="C65" s="42">
        <f t="shared" si="1"/>
        <v>332</v>
      </c>
      <c r="D65" s="59">
        <v>343</v>
      </c>
      <c r="E65">
        <v>98</v>
      </c>
      <c r="F65" s="35"/>
      <c r="J65" s="4"/>
      <c r="L65" s="5">
        <f t="shared" si="2"/>
        <v>152</v>
      </c>
      <c r="M65" s="42">
        <f t="shared" si="3"/>
        <v>365</v>
      </c>
      <c r="N65" s="59">
        <v>376</v>
      </c>
      <c r="O65">
        <v>145</v>
      </c>
      <c r="P65" s="35"/>
      <c r="T65" s="4"/>
    </row>
    <row r="66" spans="1:20" x14ac:dyDescent="0.3">
      <c r="A66">
        <v>2</v>
      </c>
      <c r="B66" s="5">
        <f t="shared" si="0"/>
        <v>155</v>
      </c>
      <c r="C66" s="42">
        <f t="shared" si="1"/>
        <v>334</v>
      </c>
      <c r="D66" s="59">
        <v>344</v>
      </c>
      <c r="E66">
        <v>99</v>
      </c>
      <c r="F66" s="5"/>
      <c r="J66" s="4"/>
      <c r="L66" s="5">
        <f t="shared" si="2"/>
        <v>155</v>
      </c>
      <c r="M66" s="42">
        <f t="shared" si="3"/>
        <v>367</v>
      </c>
      <c r="N66" s="59">
        <v>377</v>
      </c>
      <c r="O66">
        <v>146</v>
      </c>
      <c r="P66" s="5"/>
      <c r="T66" s="4"/>
    </row>
    <row r="67" spans="1:20" x14ac:dyDescent="0.3">
      <c r="A67">
        <v>2</v>
      </c>
      <c r="B67" s="5">
        <f t="shared" si="0"/>
        <v>158</v>
      </c>
      <c r="C67" s="42">
        <f t="shared" si="1"/>
        <v>336</v>
      </c>
      <c r="D67" s="59">
        <v>345</v>
      </c>
      <c r="E67">
        <v>100</v>
      </c>
      <c r="F67" s="5"/>
      <c r="J67" s="4"/>
      <c r="L67" s="5">
        <f t="shared" si="2"/>
        <v>158</v>
      </c>
      <c r="M67" s="42">
        <f t="shared" si="3"/>
        <v>369</v>
      </c>
      <c r="N67" s="59">
        <v>378</v>
      </c>
      <c r="O67">
        <v>147</v>
      </c>
      <c r="P67" s="5"/>
      <c r="T67" s="4"/>
    </row>
    <row r="68" spans="1:20" x14ac:dyDescent="0.3">
      <c r="A68">
        <v>2</v>
      </c>
      <c r="B68" s="29">
        <f t="shared" si="0"/>
        <v>161</v>
      </c>
      <c r="C68" s="41">
        <f t="shared" si="1"/>
        <v>338</v>
      </c>
      <c r="D68" s="60">
        <v>346</v>
      </c>
      <c r="E68" s="3">
        <v>101</v>
      </c>
      <c r="F68" s="29">
        <v>8</v>
      </c>
      <c r="G68" s="32">
        <v>9</v>
      </c>
      <c r="H68" s="30"/>
      <c r="I68" s="30"/>
      <c r="J68" s="31"/>
      <c r="K68" s="30"/>
      <c r="L68" s="29">
        <f t="shared" si="2"/>
        <v>161</v>
      </c>
      <c r="M68" s="41">
        <f t="shared" si="3"/>
        <v>371</v>
      </c>
      <c r="N68" s="60">
        <v>379</v>
      </c>
      <c r="O68" s="3">
        <v>148</v>
      </c>
      <c r="P68" s="29">
        <v>8</v>
      </c>
      <c r="Q68" s="32">
        <v>9</v>
      </c>
      <c r="R68" s="30"/>
      <c r="S68" s="30"/>
      <c r="T68" s="31"/>
    </row>
    <row r="69" spans="1:20" x14ac:dyDescent="0.3">
      <c r="A69">
        <v>2</v>
      </c>
      <c r="B69" s="35">
        <f t="shared" si="0"/>
        <v>164</v>
      </c>
      <c r="C69" s="74">
        <f t="shared" si="1"/>
        <v>340</v>
      </c>
      <c r="D69" s="75">
        <v>347</v>
      </c>
      <c r="E69" s="73">
        <v>102</v>
      </c>
      <c r="F69" s="2">
        <v>6</v>
      </c>
      <c r="G69" s="3">
        <v>7</v>
      </c>
      <c r="J69" s="4"/>
      <c r="L69" s="35">
        <f t="shared" si="2"/>
        <v>164</v>
      </c>
      <c r="M69" s="74">
        <f t="shared" si="3"/>
        <v>373</v>
      </c>
      <c r="N69" s="75">
        <v>380</v>
      </c>
      <c r="O69" s="73">
        <v>149</v>
      </c>
      <c r="P69" s="2">
        <v>6</v>
      </c>
      <c r="Q69" s="3">
        <v>7</v>
      </c>
      <c r="T69" s="4"/>
    </row>
    <row r="70" spans="1:20" x14ac:dyDescent="0.3">
      <c r="A70">
        <v>2</v>
      </c>
      <c r="B70" s="35">
        <f t="shared" si="0"/>
        <v>167</v>
      </c>
      <c r="C70" s="74">
        <f t="shared" si="1"/>
        <v>342</v>
      </c>
      <c r="D70" s="75">
        <v>348</v>
      </c>
      <c r="E70" s="73">
        <v>103</v>
      </c>
      <c r="F70" s="2">
        <v>4</v>
      </c>
      <c r="J70" s="4"/>
      <c r="L70" s="35">
        <f t="shared" si="2"/>
        <v>167</v>
      </c>
      <c r="M70" s="74">
        <f t="shared" si="3"/>
        <v>375</v>
      </c>
      <c r="N70" s="75">
        <v>381</v>
      </c>
      <c r="O70" s="73">
        <v>150</v>
      </c>
      <c r="P70" s="2">
        <v>6</v>
      </c>
      <c r="T70" s="4"/>
    </row>
    <row r="71" spans="1:20" x14ac:dyDescent="0.3">
      <c r="A71">
        <v>2</v>
      </c>
      <c r="B71" s="5">
        <f t="shared" si="0"/>
        <v>170</v>
      </c>
      <c r="C71" s="42">
        <f t="shared" si="1"/>
        <v>344</v>
      </c>
      <c r="D71" s="59">
        <v>349</v>
      </c>
      <c r="E71">
        <v>104</v>
      </c>
      <c r="F71" s="5"/>
      <c r="J71" s="4"/>
      <c r="L71" s="5">
        <f t="shared" si="2"/>
        <v>170</v>
      </c>
      <c r="M71" s="42">
        <f t="shared" si="3"/>
        <v>377</v>
      </c>
      <c r="N71" s="59">
        <v>382</v>
      </c>
      <c r="O71">
        <v>151</v>
      </c>
      <c r="P71" s="5"/>
      <c r="T71" s="4"/>
    </row>
    <row r="72" spans="1:20" x14ac:dyDescent="0.3">
      <c r="A72">
        <v>2</v>
      </c>
      <c r="B72" s="5">
        <f t="shared" si="0"/>
        <v>173</v>
      </c>
      <c r="C72" s="42">
        <f t="shared" si="1"/>
        <v>346</v>
      </c>
      <c r="D72" s="59">
        <v>350</v>
      </c>
      <c r="E72">
        <v>105</v>
      </c>
      <c r="F72" s="5"/>
      <c r="J72" s="4"/>
      <c r="L72" s="5">
        <f t="shared" si="2"/>
        <v>173</v>
      </c>
      <c r="M72" s="42">
        <f t="shared" si="3"/>
        <v>379</v>
      </c>
      <c r="N72" s="59">
        <v>383</v>
      </c>
      <c r="O72">
        <v>152</v>
      </c>
      <c r="P72" s="5"/>
      <c r="T72" s="4"/>
    </row>
    <row r="73" spans="1:20" x14ac:dyDescent="0.3">
      <c r="A73">
        <v>2</v>
      </c>
      <c r="B73" s="5">
        <f t="shared" si="0"/>
        <v>176</v>
      </c>
      <c r="C73" s="42">
        <f t="shared" si="1"/>
        <v>348</v>
      </c>
      <c r="D73" s="59">
        <v>351</v>
      </c>
      <c r="E73">
        <v>106</v>
      </c>
      <c r="F73" s="5"/>
      <c r="J73" s="4"/>
      <c r="L73" s="5">
        <f t="shared" si="2"/>
        <v>176</v>
      </c>
      <c r="M73" s="42">
        <f t="shared" si="3"/>
        <v>381</v>
      </c>
      <c r="N73" s="59">
        <v>384</v>
      </c>
      <c r="O73">
        <v>153</v>
      </c>
      <c r="P73" s="5"/>
      <c r="T73" s="4"/>
    </row>
    <row r="74" spans="1:20" x14ac:dyDescent="0.3">
      <c r="A74">
        <v>2</v>
      </c>
      <c r="B74" s="5">
        <f t="shared" si="0"/>
        <v>179</v>
      </c>
      <c r="C74" s="42">
        <f t="shared" si="1"/>
        <v>350</v>
      </c>
      <c r="D74" s="59">
        <v>352</v>
      </c>
      <c r="E74">
        <v>107</v>
      </c>
      <c r="F74" s="5"/>
      <c r="J74" s="4"/>
      <c r="L74" s="5">
        <f t="shared" si="2"/>
        <v>179</v>
      </c>
      <c r="M74" s="42">
        <f t="shared" si="3"/>
        <v>383</v>
      </c>
      <c r="N74" s="59">
        <v>385</v>
      </c>
      <c r="O74">
        <v>154</v>
      </c>
      <c r="P74" s="5"/>
      <c r="T74" s="4"/>
    </row>
    <row r="75" spans="1:20" x14ac:dyDescent="0.3">
      <c r="A75">
        <v>2</v>
      </c>
      <c r="B75" s="5">
        <f t="shared" si="0"/>
        <v>182</v>
      </c>
      <c r="C75" s="42">
        <f t="shared" si="1"/>
        <v>352</v>
      </c>
      <c r="D75" s="59">
        <v>353</v>
      </c>
      <c r="E75">
        <v>108</v>
      </c>
      <c r="F75" s="5"/>
      <c r="J75" s="4"/>
      <c r="L75" s="5">
        <f t="shared" si="2"/>
        <v>182</v>
      </c>
      <c r="M75" s="42">
        <f t="shared" si="3"/>
        <v>385</v>
      </c>
      <c r="N75" s="59">
        <v>386</v>
      </c>
      <c r="O75">
        <v>155</v>
      </c>
      <c r="P75" s="5"/>
      <c r="T75" s="4"/>
    </row>
    <row r="76" spans="1:20" x14ac:dyDescent="0.3">
      <c r="A76">
        <v>2</v>
      </c>
      <c r="B76" s="5">
        <f t="shared" si="0"/>
        <v>185</v>
      </c>
      <c r="C76" s="42">
        <f t="shared" si="1"/>
        <v>354</v>
      </c>
      <c r="D76" s="59">
        <v>354</v>
      </c>
      <c r="E76">
        <v>109</v>
      </c>
      <c r="F76" s="2">
        <v>6</v>
      </c>
      <c r="J76" s="4"/>
      <c r="L76" s="5">
        <f t="shared" si="2"/>
        <v>185</v>
      </c>
      <c r="M76" s="42">
        <f t="shared" si="3"/>
        <v>387</v>
      </c>
      <c r="N76" s="59">
        <v>387</v>
      </c>
      <c r="O76">
        <v>156</v>
      </c>
      <c r="P76" s="2">
        <v>6</v>
      </c>
      <c r="T76" s="4"/>
    </row>
    <row r="77" spans="1:20" x14ac:dyDescent="0.3">
      <c r="A77">
        <v>2</v>
      </c>
      <c r="B77" s="35">
        <f t="shared" si="0"/>
        <v>188</v>
      </c>
      <c r="C77" s="74">
        <f t="shared" si="1"/>
        <v>356</v>
      </c>
      <c r="D77" s="75">
        <v>355</v>
      </c>
      <c r="E77" s="73">
        <v>110</v>
      </c>
      <c r="F77" s="2">
        <v>4</v>
      </c>
      <c r="G77" s="3">
        <v>45</v>
      </c>
      <c r="J77" s="4"/>
      <c r="L77" s="35">
        <f t="shared" si="2"/>
        <v>188</v>
      </c>
      <c r="M77" s="74">
        <f t="shared" si="3"/>
        <v>389</v>
      </c>
      <c r="N77" s="75">
        <v>388</v>
      </c>
      <c r="O77" s="73">
        <v>157</v>
      </c>
      <c r="P77" s="2">
        <v>6</v>
      </c>
      <c r="T77" s="4"/>
    </row>
    <row r="78" spans="1:20" x14ac:dyDescent="0.3">
      <c r="A78">
        <v>2</v>
      </c>
      <c r="B78" s="5">
        <f t="shared" si="0"/>
        <v>191</v>
      </c>
      <c r="C78" s="42">
        <f t="shared" si="1"/>
        <v>358</v>
      </c>
      <c r="D78" s="59">
        <v>356</v>
      </c>
      <c r="E78">
        <v>111</v>
      </c>
      <c r="F78" s="5"/>
      <c r="J78" s="4"/>
      <c r="L78" s="5">
        <f t="shared" si="2"/>
        <v>191</v>
      </c>
      <c r="M78" s="42">
        <f t="shared" si="3"/>
        <v>391</v>
      </c>
      <c r="N78" s="59">
        <v>389</v>
      </c>
      <c r="O78">
        <v>158</v>
      </c>
      <c r="P78" s="5"/>
      <c r="T78" s="4"/>
    </row>
    <row r="79" spans="1:20" x14ac:dyDescent="0.3">
      <c r="A79">
        <v>2</v>
      </c>
      <c r="B79" s="80">
        <f t="shared" si="0"/>
        <v>194</v>
      </c>
      <c r="C79" s="77">
        <f t="shared" si="1"/>
        <v>360</v>
      </c>
      <c r="D79" s="78">
        <v>357</v>
      </c>
      <c r="E79" s="79">
        <v>112</v>
      </c>
      <c r="F79" s="29">
        <v>8</v>
      </c>
      <c r="G79" s="30"/>
      <c r="H79" s="30"/>
      <c r="I79" s="30"/>
      <c r="J79" s="31"/>
      <c r="K79" s="30"/>
      <c r="L79" s="80">
        <f t="shared" si="2"/>
        <v>194</v>
      </c>
      <c r="M79" s="77">
        <f t="shared" si="3"/>
        <v>393</v>
      </c>
      <c r="N79" s="78">
        <v>390</v>
      </c>
      <c r="O79" s="79">
        <v>159</v>
      </c>
      <c r="P79" s="29">
        <v>8</v>
      </c>
      <c r="Q79" s="30"/>
      <c r="R79" s="30"/>
      <c r="S79" s="30"/>
      <c r="T79" s="31"/>
    </row>
    <row r="80" spans="1:20" x14ac:dyDescent="0.3">
      <c r="A80">
        <v>2</v>
      </c>
      <c r="B80" s="35">
        <f t="shared" si="0"/>
        <v>197</v>
      </c>
      <c r="C80" s="74">
        <f t="shared" si="1"/>
        <v>362</v>
      </c>
      <c r="D80" s="75">
        <v>358</v>
      </c>
      <c r="E80" s="73">
        <v>113</v>
      </c>
      <c r="F80" s="5"/>
      <c r="J80" s="4"/>
      <c r="L80" s="35">
        <f t="shared" si="2"/>
        <v>197</v>
      </c>
      <c r="M80" s="74">
        <f t="shared" si="3"/>
        <v>395</v>
      </c>
      <c r="N80" s="75">
        <v>391</v>
      </c>
      <c r="O80" s="73">
        <v>160</v>
      </c>
      <c r="P80" s="5"/>
      <c r="T80" s="4"/>
    </row>
    <row r="81" spans="1:20" x14ac:dyDescent="0.3">
      <c r="A81">
        <v>2</v>
      </c>
      <c r="B81" s="5">
        <f t="shared" si="0"/>
        <v>200</v>
      </c>
      <c r="C81" s="42">
        <f t="shared" si="1"/>
        <v>364</v>
      </c>
      <c r="D81" s="59">
        <v>359</v>
      </c>
      <c r="E81">
        <v>114</v>
      </c>
      <c r="F81" s="5"/>
      <c r="J81" s="4"/>
      <c r="L81" s="5">
        <f t="shared" si="2"/>
        <v>200</v>
      </c>
      <c r="M81" s="42">
        <f t="shared" si="3"/>
        <v>397</v>
      </c>
      <c r="N81" s="59">
        <v>392</v>
      </c>
      <c r="O81">
        <v>161</v>
      </c>
      <c r="P81" s="5"/>
      <c r="T81" s="4"/>
    </row>
    <row r="82" spans="1:20" x14ac:dyDescent="0.3">
      <c r="A82">
        <v>2</v>
      </c>
      <c r="B82" s="6">
        <f t="shared" si="0"/>
        <v>203</v>
      </c>
      <c r="C82" s="43">
        <f t="shared" si="1"/>
        <v>366</v>
      </c>
      <c r="D82" s="61">
        <v>360</v>
      </c>
      <c r="E82">
        <v>115</v>
      </c>
      <c r="F82" s="6"/>
      <c r="G82" s="7"/>
      <c r="H82" s="7"/>
      <c r="I82" s="7"/>
      <c r="J82" s="8"/>
      <c r="L82" s="6">
        <f t="shared" si="2"/>
        <v>203</v>
      </c>
      <c r="M82" s="43">
        <f t="shared" si="3"/>
        <v>399</v>
      </c>
      <c r="N82" s="61">
        <v>393</v>
      </c>
      <c r="O82">
        <v>162</v>
      </c>
      <c r="P82" s="6"/>
      <c r="Q82" s="7"/>
      <c r="R82" s="7"/>
      <c r="S82" s="7"/>
      <c r="T82" s="8"/>
    </row>
    <row r="84" spans="1:20" ht="18" x14ac:dyDescent="0.35">
      <c r="B84" s="14" t="s">
        <v>0</v>
      </c>
      <c r="C84" s="14" t="s">
        <v>14</v>
      </c>
      <c r="D84" s="14"/>
      <c r="E84" s="1" t="s">
        <v>29</v>
      </c>
      <c r="F84" s="1"/>
      <c r="G84" s="1"/>
    </row>
    <row r="85" spans="1:20" x14ac:dyDescent="0.3">
      <c r="B85" s="1"/>
      <c r="C85" s="1"/>
      <c r="D85" s="1"/>
      <c r="E85" s="1"/>
      <c r="F85" s="1"/>
      <c r="G85" s="1"/>
    </row>
    <row r="86" spans="1:20" x14ac:dyDescent="0.3">
      <c r="B86" s="9" t="s">
        <v>1</v>
      </c>
      <c r="C86" s="13"/>
      <c r="D86" s="9"/>
      <c r="E86" s="33"/>
      <c r="F86" s="103" t="s">
        <v>5</v>
      </c>
      <c r="G86" s="104"/>
      <c r="H86" s="104"/>
      <c r="I86" s="104"/>
      <c r="J86" s="104"/>
      <c r="L86" s="9" t="s">
        <v>2</v>
      </c>
      <c r="M86" s="13"/>
      <c r="N86" s="9"/>
      <c r="O86" s="33"/>
      <c r="P86" s="103" t="s">
        <v>5</v>
      </c>
      <c r="Q86" s="104"/>
      <c r="R86" s="104"/>
      <c r="S86" s="104"/>
      <c r="T86" s="104"/>
    </row>
    <row r="87" spans="1:20" x14ac:dyDescent="0.3">
      <c r="B87" s="9" t="s">
        <v>10</v>
      </c>
      <c r="C87" s="40" t="s">
        <v>9</v>
      </c>
      <c r="D87" s="57" t="s">
        <v>21</v>
      </c>
      <c r="E87" s="13" t="s">
        <v>27</v>
      </c>
      <c r="F87" s="10" t="s">
        <v>11</v>
      </c>
      <c r="G87" s="11" t="s">
        <v>4</v>
      </c>
      <c r="H87" s="11" t="s">
        <v>6</v>
      </c>
      <c r="I87" s="11" t="s">
        <v>7</v>
      </c>
      <c r="J87" s="12" t="s">
        <v>8</v>
      </c>
      <c r="L87" s="9" t="s">
        <v>10</v>
      </c>
      <c r="M87" s="40" t="s">
        <v>9</v>
      </c>
      <c r="N87" s="57" t="s">
        <v>21</v>
      </c>
      <c r="O87" s="13" t="s">
        <v>27</v>
      </c>
      <c r="P87" s="10" t="s">
        <v>11</v>
      </c>
      <c r="Q87" s="11" t="s">
        <v>4</v>
      </c>
      <c r="R87" s="11" t="s">
        <v>6</v>
      </c>
      <c r="S87" s="11" t="s">
        <v>7</v>
      </c>
      <c r="T87" s="12" t="s">
        <v>8</v>
      </c>
    </row>
    <row r="88" spans="1:20" x14ac:dyDescent="0.3">
      <c r="A88">
        <v>4</v>
      </c>
      <c r="B88" s="38">
        <v>119</v>
      </c>
      <c r="C88" s="44">
        <v>386</v>
      </c>
      <c r="D88" s="95">
        <v>370</v>
      </c>
      <c r="E88" s="26">
        <v>189</v>
      </c>
      <c r="F88" s="15">
        <v>100</v>
      </c>
      <c r="G88" s="16"/>
      <c r="H88" s="16"/>
      <c r="I88" s="16"/>
      <c r="J88" s="17"/>
      <c r="L88" s="38">
        <v>119</v>
      </c>
      <c r="M88" s="44">
        <v>419</v>
      </c>
      <c r="N88" s="58">
        <v>403</v>
      </c>
      <c r="O88" s="16">
        <v>236</v>
      </c>
      <c r="P88" s="38"/>
      <c r="Q88" s="16"/>
      <c r="R88" s="16"/>
      <c r="S88" s="16"/>
      <c r="T88" s="17"/>
    </row>
    <row r="89" spans="1:20" x14ac:dyDescent="0.3">
      <c r="A89">
        <v>4</v>
      </c>
      <c r="B89" s="5">
        <f>B88+3</f>
        <v>122</v>
      </c>
      <c r="C89" s="42">
        <f>C88+2</f>
        <v>388</v>
      </c>
      <c r="D89" s="90">
        <v>371</v>
      </c>
      <c r="E89" s="25">
        <v>190</v>
      </c>
      <c r="F89" s="3">
        <v>9</v>
      </c>
      <c r="G89" s="3">
        <v>80</v>
      </c>
      <c r="J89" s="4"/>
      <c r="L89" s="5">
        <f>L88+3</f>
        <v>122</v>
      </c>
      <c r="M89" s="42">
        <f t="shared" ref="M89:M115" si="4">M88+2</f>
        <v>421</v>
      </c>
      <c r="N89" s="59">
        <v>404</v>
      </c>
      <c r="O89">
        <v>237</v>
      </c>
      <c r="P89" s="2">
        <v>9</v>
      </c>
      <c r="T89" s="4"/>
    </row>
    <row r="90" spans="1:20" x14ac:dyDescent="0.3">
      <c r="A90">
        <v>4</v>
      </c>
      <c r="B90" s="29">
        <f t="shared" ref="B90:B115" si="5">B89+3</f>
        <v>125</v>
      </c>
      <c r="C90" s="41">
        <f t="shared" ref="C90:C115" si="6">C89+2</f>
        <v>390</v>
      </c>
      <c r="D90" s="96">
        <v>372</v>
      </c>
      <c r="E90" s="94">
        <v>191</v>
      </c>
      <c r="F90" s="32">
        <v>7</v>
      </c>
      <c r="G90" s="32">
        <v>57</v>
      </c>
      <c r="H90" s="32">
        <v>80</v>
      </c>
      <c r="I90" s="30"/>
      <c r="J90" s="31"/>
      <c r="K90" s="30"/>
      <c r="L90" s="29">
        <f t="shared" ref="L90:L115" si="7">L89+3</f>
        <v>125</v>
      </c>
      <c r="M90" s="41">
        <f t="shared" si="4"/>
        <v>423</v>
      </c>
      <c r="N90" s="60">
        <v>405</v>
      </c>
      <c r="O90" s="3">
        <v>238</v>
      </c>
      <c r="P90" s="29">
        <v>7</v>
      </c>
      <c r="Q90" s="30"/>
      <c r="R90" s="30"/>
      <c r="S90" s="30"/>
      <c r="T90" s="31"/>
    </row>
    <row r="91" spans="1:20" x14ac:dyDescent="0.3">
      <c r="A91">
        <v>4</v>
      </c>
      <c r="B91" s="35">
        <f t="shared" si="5"/>
        <v>128</v>
      </c>
      <c r="C91" s="74">
        <f t="shared" si="6"/>
        <v>392</v>
      </c>
      <c r="D91" s="97">
        <v>373</v>
      </c>
      <c r="E91" s="74">
        <v>192</v>
      </c>
      <c r="F91" s="79">
        <v>57</v>
      </c>
      <c r="G91" s="79">
        <v>81</v>
      </c>
      <c r="H91" s="79">
        <v>86</v>
      </c>
      <c r="I91" s="73"/>
      <c r="J91" s="85"/>
      <c r="L91" s="35">
        <f t="shared" si="7"/>
        <v>128</v>
      </c>
      <c r="M91" s="74">
        <f t="shared" si="4"/>
        <v>425</v>
      </c>
      <c r="N91" s="75">
        <v>406</v>
      </c>
      <c r="O91" s="73">
        <v>239</v>
      </c>
      <c r="P91" s="5">
        <v>60</v>
      </c>
      <c r="T91" s="4"/>
    </row>
    <row r="92" spans="1:20" x14ac:dyDescent="0.3">
      <c r="A92">
        <v>4</v>
      </c>
      <c r="B92" s="5">
        <f t="shared" si="5"/>
        <v>131</v>
      </c>
      <c r="C92" s="42">
        <f t="shared" si="6"/>
        <v>394</v>
      </c>
      <c r="D92" s="90">
        <v>374</v>
      </c>
      <c r="E92" s="25">
        <v>193</v>
      </c>
      <c r="F92" s="3">
        <v>81</v>
      </c>
      <c r="J92" s="4"/>
      <c r="L92" s="5">
        <f t="shared" si="7"/>
        <v>131</v>
      </c>
      <c r="M92" s="42">
        <f t="shared" si="4"/>
        <v>427</v>
      </c>
      <c r="N92" s="59">
        <v>407</v>
      </c>
      <c r="O92">
        <v>240</v>
      </c>
      <c r="P92" s="5"/>
      <c r="T92" s="4"/>
    </row>
    <row r="93" spans="1:20" x14ac:dyDescent="0.3">
      <c r="A93">
        <v>4</v>
      </c>
      <c r="B93" s="5">
        <f t="shared" si="5"/>
        <v>134</v>
      </c>
      <c r="C93" s="42">
        <f t="shared" si="6"/>
        <v>396</v>
      </c>
      <c r="D93" s="90">
        <v>375</v>
      </c>
      <c r="E93" s="25">
        <v>194</v>
      </c>
      <c r="F93" s="3">
        <v>100</v>
      </c>
      <c r="J93" s="4"/>
      <c r="L93" s="5">
        <f t="shared" si="7"/>
        <v>134</v>
      </c>
      <c r="M93" s="42">
        <f t="shared" si="4"/>
        <v>429</v>
      </c>
      <c r="N93" s="59">
        <v>408</v>
      </c>
      <c r="O93">
        <v>241</v>
      </c>
      <c r="P93" s="5"/>
      <c r="T93" s="4"/>
    </row>
    <row r="94" spans="1:20" x14ac:dyDescent="0.3">
      <c r="A94">
        <v>4</v>
      </c>
      <c r="B94" s="5">
        <f t="shared" si="5"/>
        <v>137</v>
      </c>
      <c r="C94" s="42">
        <f t="shared" si="6"/>
        <v>398</v>
      </c>
      <c r="D94" s="90">
        <v>376</v>
      </c>
      <c r="E94" s="25">
        <v>195</v>
      </c>
      <c r="F94" s="3">
        <v>9</v>
      </c>
      <c r="G94" s="3">
        <v>82</v>
      </c>
      <c r="J94" s="4"/>
      <c r="L94" s="5">
        <f t="shared" si="7"/>
        <v>137</v>
      </c>
      <c r="M94" s="42">
        <f t="shared" si="4"/>
        <v>431</v>
      </c>
      <c r="N94" s="59">
        <v>409</v>
      </c>
      <c r="O94">
        <v>242</v>
      </c>
      <c r="P94" s="2">
        <v>9</v>
      </c>
      <c r="T94" s="4"/>
    </row>
    <row r="95" spans="1:20" x14ac:dyDescent="0.3">
      <c r="A95">
        <v>4</v>
      </c>
      <c r="B95" s="80">
        <f t="shared" si="5"/>
        <v>140</v>
      </c>
      <c r="C95" s="77">
        <f t="shared" si="6"/>
        <v>400</v>
      </c>
      <c r="D95" s="98">
        <v>377</v>
      </c>
      <c r="E95" s="77">
        <v>196</v>
      </c>
      <c r="F95" s="82">
        <v>7</v>
      </c>
      <c r="G95" s="82">
        <v>15</v>
      </c>
      <c r="H95" s="82">
        <v>82</v>
      </c>
      <c r="I95" s="91"/>
      <c r="J95" s="86"/>
      <c r="K95" s="30"/>
      <c r="L95" s="80">
        <f t="shared" si="7"/>
        <v>140</v>
      </c>
      <c r="M95" s="77">
        <f t="shared" si="4"/>
        <v>433</v>
      </c>
      <c r="N95" s="78">
        <v>410</v>
      </c>
      <c r="O95" s="79">
        <v>243</v>
      </c>
      <c r="P95" s="29">
        <v>7</v>
      </c>
      <c r="Q95" s="32">
        <v>15</v>
      </c>
      <c r="R95" s="30"/>
      <c r="S95" s="30"/>
      <c r="T95" s="31"/>
    </row>
    <row r="96" spans="1:20" x14ac:dyDescent="0.3">
      <c r="A96">
        <v>4</v>
      </c>
      <c r="B96" s="5">
        <f t="shared" si="5"/>
        <v>143</v>
      </c>
      <c r="C96" s="42">
        <f t="shared" si="6"/>
        <v>402</v>
      </c>
      <c r="D96" s="90">
        <v>378</v>
      </c>
      <c r="E96" s="25">
        <v>197</v>
      </c>
      <c r="F96" s="3">
        <v>82</v>
      </c>
      <c r="J96" s="4"/>
      <c r="L96" s="5">
        <f t="shared" si="7"/>
        <v>143</v>
      </c>
      <c r="M96" s="42">
        <f t="shared" si="4"/>
        <v>435</v>
      </c>
      <c r="N96" s="59">
        <v>411</v>
      </c>
      <c r="O96">
        <v>244</v>
      </c>
      <c r="P96" s="2">
        <v>39</v>
      </c>
      <c r="T96" s="4"/>
    </row>
    <row r="97" spans="1:20" x14ac:dyDescent="0.3">
      <c r="A97">
        <v>4</v>
      </c>
      <c r="B97" s="80">
        <f t="shared" si="5"/>
        <v>146</v>
      </c>
      <c r="C97" s="77">
        <f t="shared" si="6"/>
        <v>404</v>
      </c>
      <c r="D97" s="98">
        <v>379</v>
      </c>
      <c r="E97" s="77">
        <v>198</v>
      </c>
      <c r="F97" s="82">
        <v>8</v>
      </c>
      <c r="G97" s="82">
        <v>21</v>
      </c>
      <c r="H97" s="82">
        <v>82</v>
      </c>
      <c r="I97" s="91"/>
      <c r="J97" s="86"/>
      <c r="K97" s="30"/>
      <c r="L97" s="80">
        <f t="shared" si="7"/>
        <v>146</v>
      </c>
      <c r="M97" s="77">
        <f t="shared" si="4"/>
        <v>437</v>
      </c>
      <c r="N97" s="78">
        <v>412</v>
      </c>
      <c r="O97" s="79">
        <v>245</v>
      </c>
      <c r="P97" s="29">
        <v>8</v>
      </c>
      <c r="Q97" s="30"/>
      <c r="R97" s="30"/>
      <c r="S97" s="30"/>
      <c r="T97" s="31"/>
    </row>
    <row r="98" spans="1:20" x14ac:dyDescent="0.3">
      <c r="A98">
        <v>4</v>
      </c>
      <c r="B98" s="29">
        <f t="shared" si="5"/>
        <v>149</v>
      </c>
      <c r="C98" s="41">
        <f t="shared" si="6"/>
        <v>406</v>
      </c>
      <c r="D98" s="96">
        <v>380</v>
      </c>
      <c r="E98" s="94">
        <v>199</v>
      </c>
      <c r="F98" s="32">
        <v>23</v>
      </c>
      <c r="G98" s="32">
        <v>86</v>
      </c>
      <c r="H98" s="30"/>
      <c r="I98" s="30"/>
      <c r="J98" s="31"/>
      <c r="L98" s="29">
        <f t="shared" si="7"/>
        <v>149</v>
      </c>
      <c r="M98" s="41">
        <f t="shared" si="4"/>
        <v>439</v>
      </c>
      <c r="N98" s="60">
        <v>413</v>
      </c>
      <c r="O98" s="3">
        <v>246</v>
      </c>
      <c r="P98" s="28">
        <v>60</v>
      </c>
      <c r="Q98" s="30"/>
      <c r="R98" s="30"/>
      <c r="S98" s="30"/>
      <c r="T98" s="31"/>
    </row>
    <row r="99" spans="1:20" x14ac:dyDescent="0.3">
      <c r="A99">
        <v>4</v>
      </c>
      <c r="B99" s="5">
        <f t="shared" si="5"/>
        <v>152</v>
      </c>
      <c r="C99" s="42">
        <f t="shared" si="6"/>
        <v>408</v>
      </c>
      <c r="D99" s="90">
        <v>381</v>
      </c>
      <c r="E99" s="25">
        <v>200</v>
      </c>
      <c r="F99" s="93">
        <v>100</v>
      </c>
      <c r="J99" s="4"/>
      <c r="L99" s="5">
        <f t="shared" si="7"/>
        <v>152</v>
      </c>
      <c r="M99" s="42">
        <f t="shared" si="4"/>
        <v>441</v>
      </c>
      <c r="N99" s="59">
        <v>414</v>
      </c>
      <c r="O99">
        <v>247</v>
      </c>
      <c r="P99" s="35">
        <v>60</v>
      </c>
      <c r="T99" s="4"/>
    </row>
    <row r="100" spans="1:20" x14ac:dyDescent="0.3">
      <c r="A100">
        <v>4</v>
      </c>
      <c r="B100" s="5">
        <f t="shared" si="5"/>
        <v>155</v>
      </c>
      <c r="C100" s="42">
        <f t="shared" si="6"/>
        <v>410</v>
      </c>
      <c r="D100" s="90">
        <v>382</v>
      </c>
      <c r="E100" s="25">
        <v>201</v>
      </c>
      <c r="F100" s="3">
        <v>100</v>
      </c>
      <c r="J100" s="4"/>
      <c r="L100" s="5">
        <f t="shared" si="7"/>
        <v>155</v>
      </c>
      <c r="M100" s="42">
        <f t="shared" si="4"/>
        <v>443</v>
      </c>
      <c r="N100" s="59">
        <v>415</v>
      </c>
      <c r="O100">
        <v>248</v>
      </c>
      <c r="P100" s="5">
        <v>60</v>
      </c>
      <c r="T100" s="4"/>
    </row>
    <row r="101" spans="1:20" x14ac:dyDescent="0.3">
      <c r="A101">
        <v>4</v>
      </c>
      <c r="B101" s="5">
        <f t="shared" si="5"/>
        <v>158</v>
      </c>
      <c r="C101" s="42">
        <f t="shared" si="6"/>
        <v>412</v>
      </c>
      <c r="D101" s="90">
        <v>383</v>
      </c>
      <c r="E101" s="25">
        <v>202</v>
      </c>
      <c r="F101" s="3">
        <v>9</v>
      </c>
      <c r="J101" s="4"/>
      <c r="L101" s="5">
        <f t="shared" si="7"/>
        <v>158</v>
      </c>
      <c r="M101" s="42">
        <f t="shared" si="4"/>
        <v>445</v>
      </c>
      <c r="N101" s="59">
        <v>416</v>
      </c>
      <c r="O101">
        <v>249</v>
      </c>
      <c r="P101" s="2">
        <v>9</v>
      </c>
      <c r="T101" s="4"/>
    </row>
    <row r="102" spans="1:20" x14ac:dyDescent="0.3">
      <c r="A102">
        <v>4</v>
      </c>
      <c r="B102" s="29">
        <f t="shared" si="5"/>
        <v>161</v>
      </c>
      <c r="C102" s="41">
        <f t="shared" si="6"/>
        <v>414</v>
      </c>
      <c r="D102" s="96">
        <v>384</v>
      </c>
      <c r="E102" s="94">
        <v>203</v>
      </c>
      <c r="F102" s="32">
        <v>8</v>
      </c>
      <c r="G102" s="32">
        <v>21</v>
      </c>
      <c r="H102" s="30"/>
      <c r="I102" s="30"/>
      <c r="J102" s="31"/>
      <c r="K102" s="30"/>
      <c r="L102" s="29">
        <f t="shared" si="7"/>
        <v>161</v>
      </c>
      <c r="M102" s="41">
        <f t="shared" si="4"/>
        <v>447</v>
      </c>
      <c r="N102" s="60">
        <v>417</v>
      </c>
      <c r="O102" s="3">
        <v>250</v>
      </c>
      <c r="P102" s="29">
        <v>8</v>
      </c>
      <c r="Q102" s="32">
        <v>85</v>
      </c>
      <c r="R102" s="30"/>
      <c r="S102" s="30"/>
      <c r="T102" s="31"/>
    </row>
    <row r="103" spans="1:20" x14ac:dyDescent="0.3">
      <c r="A103">
        <v>4</v>
      </c>
      <c r="B103" s="35">
        <f t="shared" si="5"/>
        <v>164</v>
      </c>
      <c r="C103" s="74">
        <f t="shared" si="6"/>
        <v>416</v>
      </c>
      <c r="D103" s="97">
        <v>385</v>
      </c>
      <c r="E103" s="74">
        <v>204</v>
      </c>
      <c r="F103" s="79">
        <v>47</v>
      </c>
      <c r="G103" s="79">
        <v>95</v>
      </c>
      <c r="H103" s="73"/>
      <c r="I103" s="73"/>
      <c r="J103" s="85"/>
      <c r="L103" s="35">
        <f t="shared" si="7"/>
        <v>164</v>
      </c>
      <c r="M103" s="74">
        <f t="shared" si="4"/>
        <v>449</v>
      </c>
      <c r="N103" s="75">
        <v>418</v>
      </c>
      <c r="O103" s="73">
        <v>251</v>
      </c>
      <c r="P103" s="2">
        <v>55</v>
      </c>
      <c r="Q103" s="79">
        <v>85</v>
      </c>
      <c r="T103" s="4"/>
    </row>
    <row r="104" spans="1:20" x14ac:dyDescent="0.3">
      <c r="A104">
        <v>4</v>
      </c>
      <c r="B104" s="81">
        <f t="shared" si="5"/>
        <v>167</v>
      </c>
      <c r="C104" s="77">
        <f t="shared" si="6"/>
        <v>418</v>
      </c>
      <c r="D104" s="97">
        <v>386</v>
      </c>
      <c r="E104" s="74">
        <v>205</v>
      </c>
      <c r="F104" s="79">
        <v>7</v>
      </c>
      <c r="G104" s="79">
        <v>47</v>
      </c>
      <c r="H104" s="73"/>
      <c r="I104" s="73"/>
      <c r="J104" s="85"/>
      <c r="L104" s="81">
        <f t="shared" si="7"/>
        <v>167</v>
      </c>
      <c r="M104" s="77">
        <f t="shared" si="4"/>
        <v>451</v>
      </c>
      <c r="N104" s="78">
        <v>419</v>
      </c>
      <c r="O104" s="73">
        <v>252</v>
      </c>
      <c r="P104" s="2">
        <v>7</v>
      </c>
      <c r="T104" s="4"/>
    </row>
    <row r="105" spans="1:20" x14ac:dyDescent="0.3">
      <c r="A105">
        <v>4</v>
      </c>
      <c r="B105" s="5">
        <f t="shared" si="5"/>
        <v>170</v>
      </c>
      <c r="C105" s="42">
        <f t="shared" si="6"/>
        <v>420</v>
      </c>
      <c r="D105" s="90">
        <v>387</v>
      </c>
      <c r="E105" s="25">
        <v>206</v>
      </c>
      <c r="F105" s="3">
        <v>8</v>
      </c>
      <c r="G105" s="3">
        <v>57</v>
      </c>
      <c r="J105" s="4"/>
      <c r="L105" s="5">
        <f t="shared" si="7"/>
        <v>170</v>
      </c>
      <c r="M105" s="42">
        <f t="shared" si="4"/>
        <v>453</v>
      </c>
      <c r="N105" s="59">
        <v>420</v>
      </c>
      <c r="O105">
        <v>253</v>
      </c>
      <c r="P105" s="2">
        <v>8</v>
      </c>
      <c r="T105" s="4"/>
    </row>
    <row r="106" spans="1:20" x14ac:dyDescent="0.3">
      <c r="A106">
        <v>4</v>
      </c>
      <c r="B106" s="5">
        <f t="shared" si="5"/>
        <v>173</v>
      </c>
      <c r="C106" s="42">
        <f t="shared" si="6"/>
        <v>422</v>
      </c>
      <c r="D106" s="90">
        <v>388</v>
      </c>
      <c r="E106" s="25">
        <v>207</v>
      </c>
      <c r="F106" s="3">
        <v>27</v>
      </c>
      <c r="G106" s="3">
        <v>57</v>
      </c>
      <c r="J106" s="4"/>
      <c r="L106" s="5">
        <f t="shared" si="7"/>
        <v>173</v>
      </c>
      <c r="M106" s="42">
        <f t="shared" si="4"/>
        <v>455</v>
      </c>
      <c r="N106" s="59">
        <v>421</v>
      </c>
      <c r="O106">
        <v>254</v>
      </c>
      <c r="P106" s="2">
        <v>39</v>
      </c>
      <c r="T106" s="4"/>
    </row>
    <row r="107" spans="1:20" x14ac:dyDescent="0.3">
      <c r="A107">
        <v>4</v>
      </c>
      <c r="B107" s="5">
        <f t="shared" si="5"/>
        <v>176</v>
      </c>
      <c r="C107" s="42">
        <f t="shared" si="6"/>
        <v>424</v>
      </c>
      <c r="D107" s="90">
        <v>389</v>
      </c>
      <c r="E107" s="25">
        <v>208</v>
      </c>
      <c r="F107" s="3">
        <v>27</v>
      </c>
      <c r="G107" s="3">
        <v>88</v>
      </c>
      <c r="J107" s="4"/>
      <c r="L107" s="5">
        <f t="shared" si="7"/>
        <v>176</v>
      </c>
      <c r="M107" s="42">
        <f t="shared" si="4"/>
        <v>457</v>
      </c>
      <c r="N107" s="59">
        <v>422</v>
      </c>
      <c r="O107">
        <v>255</v>
      </c>
      <c r="P107" s="2">
        <v>55</v>
      </c>
      <c r="T107" s="4"/>
    </row>
    <row r="108" spans="1:20" x14ac:dyDescent="0.3">
      <c r="A108">
        <v>4</v>
      </c>
      <c r="B108" s="5">
        <f t="shared" si="5"/>
        <v>179</v>
      </c>
      <c r="C108" s="42">
        <f t="shared" si="6"/>
        <v>426</v>
      </c>
      <c r="D108" s="90">
        <v>390</v>
      </c>
      <c r="E108" s="25">
        <v>209</v>
      </c>
      <c r="F108" s="3">
        <v>27</v>
      </c>
      <c r="G108" s="3">
        <v>88</v>
      </c>
      <c r="J108" s="4"/>
      <c r="L108" s="5">
        <f t="shared" si="7"/>
        <v>179</v>
      </c>
      <c r="M108" s="42">
        <f t="shared" si="4"/>
        <v>459</v>
      </c>
      <c r="N108" s="59">
        <v>423</v>
      </c>
      <c r="O108">
        <v>256</v>
      </c>
      <c r="P108" s="2">
        <v>55</v>
      </c>
      <c r="T108" s="4"/>
    </row>
    <row r="109" spans="1:20" x14ac:dyDescent="0.3">
      <c r="A109">
        <v>4</v>
      </c>
      <c r="B109" s="5">
        <f t="shared" si="5"/>
        <v>182</v>
      </c>
      <c r="C109" s="42">
        <f t="shared" si="6"/>
        <v>428</v>
      </c>
      <c r="D109" s="90">
        <v>391</v>
      </c>
      <c r="E109" s="25">
        <v>210</v>
      </c>
      <c r="F109" s="3">
        <v>27</v>
      </c>
      <c r="G109" s="3">
        <v>105</v>
      </c>
      <c r="J109" s="4"/>
      <c r="L109" s="5">
        <f t="shared" si="7"/>
        <v>182</v>
      </c>
      <c r="M109" s="42">
        <f t="shared" si="4"/>
        <v>461</v>
      </c>
      <c r="N109" s="59">
        <v>424</v>
      </c>
      <c r="O109">
        <v>257</v>
      </c>
      <c r="P109" s="2">
        <v>55</v>
      </c>
      <c r="T109" s="4"/>
    </row>
    <row r="110" spans="1:20" x14ac:dyDescent="0.3">
      <c r="A110">
        <v>4</v>
      </c>
      <c r="B110" s="5">
        <f t="shared" si="5"/>
        <v>185</v>
      </c>
      <c r="C110" s="42">
        <f t="shared" si="6"/>
        <v>430</v>
      </c>
      <c r="D110" s="90">
        <v>392</v>
      </c>
      <c r="E110" s="25">
        <v>211</v>
      </c>
      <c r="F110" s="3">
        <v>38</v>
      </c>
      <c r="G110" s="3">
        <v>95</v>
      </c>
      <c r="J110" s="4"/>
      <c r="L110" s="5">
        <f t="shared" si="7"/>
        <v>185</v>
      </c>
      <c r="M110" s="42">
        <f t="shared" si="4"/>
        <v>463</v>
      </c>
      <c r="N110" s="59">
        <v>425</v>
      </c>
      <c r="O110">
        <v>258</v>
      </c>
      <c r="P110" s="2">
        <v>38</v>
      </c>
      <c r="T110" s="4"/>
    </row>
    <row r="111" spans="1:20" x14ac:dyDescent="0.3">
      <c r="A111">
        <v>4</v>
      </c>
      <c r="B111" s="35">
        <f t="shared" si="5"/>
        <v>188</v>
      </c>
      <c r="C111" s="74">
        <f t="shared" si="6"/>
        <v>432</v>
      </c>
      <c r="D111" s="97">
        <v>393</v>
      </c>
      <c r="E111" s="74">
        <v>212</v>
      </c>
      <c r="F111" s="79">
        <v>38</v>
      </c>
      <c r="G111" s="79">
        <v>47</v>
      </c>
      <c r="H111" s="79">
        <v>62</v>
      </c>
      <c r="I111" s="79">
        <v>78</v>
      </c>
      <c r="J111" s="85"/>
      <c r="L111" s="35">
        <f t="shared" si="7"/>
        <v>188</v>
      </c>
      <c r="M111" s="74">
        <f t="shared" si="4"/>
        <v>465</v>
      </c>
      <c r="N111" s="75">
        <v>426</v>
      </c>
      <c r="O111" s="73">
        <v>259</v>
      </c>
      <c r="P111" s="2">
        <v>38</v>
      </c>
      <c r="Q111" s="79">
        <v>84</v>
      </c>
      <c r="T111" s="4"/>
    </row>
    <row r="112" spans="1:20" x14ac:dyDescent="0.3">
      <c r="A112">
        <v>4</v>
      </c>
      <c r="B112" s="5">
        <f t="shared" si="5"/>
        <v>191</v>
      </c>
      <c r="C112" s="42">
        <f t="shared" si="6"/>
        <v>434</v>
      </c>
      <c r="D112" s="90">
        <v>394</v>
      </c>
      <c r="E112" s="25">
        <v>213</v>
      </c>
      <c r="F112" s="3">
        <v>9</v>
      </c>
      <c r="G112" s="3">
        <v>47</v>
      </c>
      <c r="H112" s="3">
        <v>62</v>
      </c>
      <c r="I112" s="3">
        <v>78</v>
      </c>
      <c r="J112" s="4"/>
      <c r="L112" s="5">
        <f t="shared" si="7"/>
        <v>191</v>
      </c>
      <c r="M112" s="42">
        <f t="shared" si="4"/>
        <v>467</v>
      </c>
      <c r="N112" s="59">
        <v>427</v>
      </c>
      <c r="O112">
        <v>260</v>
      </c>
      <c r="P112" s="2">
        <v>9</v>
      </c>
      <c r="Q112" s="3">
        <v>84</v>
      </c>
      <c r="T112" s="4"/>
    </row>
    <row r="113" spans="1:20" x14ac:dyDescent="0.3">
      <c r="A113">
        <v>4</v>
      </c>
      <c r="B113" s="80">
        <f t="shared" si="5"/>
        <v>194</v>
      </c>
      <c r="C113" s="77">
        <f t="shared" si="6"/>
        <v>436</v>
      </c>
      <c r="D113" s="98">
        <v>395</v>
      </c>
      <c r="E113" s="77">
        <v>214</v>
      </c>
      <c r="F113" s="82">
        <v>7</v>
      </c>
      <c r="G113" s="82">
        <v>13</v>
      </c>
      <c r="H113" s="82">
        <v>78</v>
      </c>
      <c r="I113" s="99"/>
      <c r="J113" s="86"/>
      <c r="K113" s="30"/>
      <c r="L113" s="80">
        <f t="shared" si="7"/>
        <v>194</v>
      </c>
      <c r="M113" s="77">
        <f t="shared" si="4"/>
        <v>469</v>
      </c>
      <c r="N113" s="78">
        <v>428</v>
      </c>
      <c r="O113" s="79">
        <v>261</v>
      </c>
      <c r="P113" s="29">
        <v>7</v>
      </c>
      <c r="Q113" s="32">
        <v>13</v>
      </c>
      <c r="R113" s="30"/>
      <c r="S113" s="30"/>
      <c r="T113" s="31"/>
    </row>
    <row r="114" spans="1:20" x14ac:dyDescent="0.3">
      <c r="A114">
        <v>4</v>
      </c>
      <c r="B114" s="35">
        <f t="shared" si="5"/>
        <v>197</v>
      </c>
      <c r="C114" s="74">
        <f t="shared" si="6"/>
        <v>438</v>
      </c>
      <c r="D114" s="97">
        <v>396</v>
      </c>
      <c r="E114" s="74">
        <v>215</v>
      </c>
      <c r="F114" s="79">
        <v>8</v>
      </c>
      <c r="G114" s="79">
        <v>78</v>
      </c>
      <c r="H114" s="79">
        <v>105</v>
      </c>
      <c r="I114" s="93">
        <v>107</v>
      </c>
      <c r="J114" s="85"/>
      <c r="L114" s="35">
        <f t="shared" si="7"/>
        <v>197</v>
      </c>
      <c r="M114" s="74">
        <f t="shared" si="4"/>
        <v>471</v>
      </c>
      <c r="N114" s="75">
        <v>429</v>
      </c>
      <c r="O114" s="73">
        <v>262</v>
      </c>
      <c r="P114" s="2">
        <v>8</v>
      </c>
      <c r="Q114" s="73"/>
      <c r="T114" s="4"/>
    </row>
    <row r="115" spans="1:20" x14ac:dyDescent="0.3">
      <c r="A115">
        <v>4</v>
      </c>
      <c r="B115" s="5">
        <f t="shared" si="5"/>
        <v>200</v>
      </c>
      <c r="C115" s="42">
        <f t="shared" si="6"/>
        <v>440</v>
      </c>
      <c r="D115" s="90">
        <v>397</v>
      </c>
      <c r="E115" s="25">
        <v>216</v>
      </c>
      <c r="F115" s="3">
        <v>96</v>
      </c>
      <c r="G115" s="3">
        <v>96</v>
      </c>
      <c r="H115" s="3">
        <v>97</v>
      </c>
      <c r="J115" s="4"/>
      <c r="L115" s="5">
        <f t="shared" si="7"/>
        <v>200</v>
      </c>
      <c r="M115" s="42">
        <f t="shared" si="4"/>
        <v>473</v>
      </c>
      <c r="N115" s="59">
        <v>430</v>
      </c>
      <c r="O115">
        <v>263</v>
      </c>
      <c r="P115" s="5"/>
      <c r="T115" s="4"/>
    </row>
    <row r="116" spans="1:20" x14ac:dyDescent="0.3">
      <c r="A116">
        <v>4</v>
      </c>
      <c r="B116" s="5">
        <f>B115+3</f>
        <v>203</v>
      </c>
      <c r="C116" s="42">
        <f>C115+2</f>
        <v>442</v>
      </c>
      <c r="D116" s="90">
        <v>398</v>
      </c>
      <c r="E116" s="25">
        <v>217</v>
      </c>
      <c r="F116" s="3">
        <v>96</v>
      </c>
      <c r="G116" s="3">
        <v>96</v>
      </c>
      <c r="H116" s="3">
        <v>97</v>
      </c>
      <c r="J116" s="4"/>
      <c r="L116" s="6">
        <f>L115+3</f>
        <v>203</v>
      </c>
      <c r="M116" s="43">
        <f>M115+2</f>
        <v>475</v>
      </c>
      <c r="N116" s="61">
        <v>431</v>
      </c>
      <c r="O116" s="7">
        <v>264</v>
      </c>
      <c r="P116" s="6"/>
      <c r="Q116" s="7"/>
      <c r="R116" s="7"/>
      <c r="S116" s="7"/>
      <c r="T116" s="8"/>
    </row>
    <row r="117" spans="1:20" x14ac:dyDescent="0.3">
      <c r="A117">
        <v>4</v>
      </c>
      <c r="B117" s="5">
        <f>B116+3</f>
        <v>206</v>
      </c>
      <c r="C117" s="42"/>
      <c r="D117" s="90"/>
      <c r="E117" s="25">
        <v>218</v>
      </c>
      <c r="F117" s="3">
        <v>106</v>
      </c>
      <c r="G117" s="3">
        <v>109</v>
      </c>
      <c r="H117" s="3">
        <v>109</v>
      </c>
      <c r="I117" s="3">
        <v>111</v>
      </c>
      <c r="J117" s="4"/>
      <c r="M117" s="89"/>
      <c r="N117" s="90"/>
    </row>
    <row r="118" spans="1:20" x14ac:dyDescent="0.3">
      <c r="A118">
        <v>4</v>
      </c>
      <c r="B118" s="6">
        <f>B117+3</f>
        <v>209</v>
      </c>
      <c r="C118" s="43"/>
      <c r="D118" s="92"/>
      <c r="E118" s="34">
        <v>219</v>
      </c>
      <c r="F118" s="18">
        <v>106</v>
      </c>
      <c r="G118" s="18">
        <v>107</v>
      </c>
      <c r="H118" s="18">
        <v>109</v>
      </c>
      <c r="I118" s="18">
        <v>109</v>
      </c>
      <c r="J118" s="100">
        <v>111</v>
      </c>
      <c r="M118" s="89"/>
      <c r="N118" s="90"/>
    </row>
    <row r="119" spans="1:20" x14ac:dyDescent="0.3">
      <c r="C119" s="89"/>
      <c r="D119" s="90"/>
      <c r="M119" s="89"/>
      <c r="N119" s="90"/>
    </row>
    <row r="121" spans="1:20" ht="18" x14ac:dyDescent="0.35">
      <c r="B121" s="14" t="s">
        <v>0</v>
      </c>
      <c r="C121" s="14" t="s">
        <v>20</v>
      </c>
      <c r="D121" s="14"/>
      <c r="E121" s="1"/>
      <c r="F121" s="1"/>
      <c r="G121" s="1"/>
    </row>
    <row r="122" spans="1:20" x14ac:dyDescent="0.3">
      <c r="B122" s="1"/>
      <c r="C122" s="1"/>
      <c r="D122" s="1"/>
      <c r="E122" s="11"/>
      <c r="F122" s="1"/>
      <c r="G122" s="1"/>
    </row>
    <row r="123" spans="1:20" x14ac:dyDescent="0.3">
      <c r="B123" s="9" t="s">
        <v>1</v>
      </c>
      <c r="C123" s="40"/>
      <c r="D123" s="9"/>
      <c r="F123" s="103" t="s">
        <v>5</v>
      </c>
      <c r="G123" s="104"/>
      <c r="H123" s="104"/>
      <c r="I123" s="104"/>
      <c r="J123" s="104"/>
      <c r="L123" s="9" t="s">
        <v>2</v>
      </c>
      <c r="M123" s="40"/>
      <c r="N123" s="9"/>
      <c r="O123" s="33"/>
      <c r="P123" s="103" t="s">
        <v>5</v>
      </c>
      <c r="Q123" s="104"/>
      <c r="R123" s="104"/>
      <c r="S123" s="104"/>
      <c r="T123" s="104"/>
    </row>
    <row r="124" spans="1:20" x14ac:dyDescent="0.3">
      <c r="B124" s="9" t="s">
        <v>10</v>
      </c>
      <c r="C124" s="45" t="s">
        <v>9</v>
      </c>
      <c r="D124" s="63" t="s">
        <v>21</v>
      </c>
      <c r="E124" s="13" t="s">
        <v>27</v>
      </c>
      <c r="F124" s="10" t="s">
        <v>11</v>
      </c>
      <c r="G124" s="11" t="s">
        <v>4</v>
      </c>
      <c r="H124" s="11" t="s">
        <v>6</v>
      </c>
      <c r="I124" s="11" t="s">
        <v>7</v>
      </c>
      <c r="J124" s="12" t="s">
        <v>8</v>
      </c>
      <c r="L124" s="9" t="s">
        <v>10</v>
      </c>
      <c r="M124" s="40" t="s">
        <v>9</v>
      </c>
      <c r="N124" s="57" t="s">
        <v>21</v>
      </c>
      <c r="O124" s="13" t="s">
        <v>27</v>
      </c>
      <c r="P124" s="10" t="s">
        <v>11</v>
      </c>
      <c r="Q124" s="11" t="s">
        <v>4</v>
      </c>
      <c r="R124" s="11" t="s">
        <v>6</v>
      </c>
      <c r="S124" s="11" t="s">
        <v>7</v>
      </c>
      <c r="T124" s="12" t="s">
        <v>8</v>
      </c>
    </row>
    <row r="125" spans="1:20" x14ac:dyDescent="0.3">
      <c r="A125">
        <v>8</v>
      </c>
      <c r="B125">
        <v>110</v>
      </c>
      <c r="C125" s="46" t="s">
        <v>25</v>
      </c>
      <c r="D125" s="52">
        <v>402</v>
      </c>
      <c r="E125">
        <v>220</v>
      </c>
      <c r="F125" s="2">
        <v>94</v>
      </c>
      <c r="J125" s="4"/>
      <c r="K125" s="30"/>
      <c r="L125" s="5">
        <v>110</v>
      </c>
      <c r="M125" s="46" t="s">
        <v>25</v>
      </c>
      <c r="N125" s="59">
        <v>435</v>
      </c>
      <c r="O125">
        <v>267</v>
      </c>
      <c r="P125" s="28"/>
      <c r="Q125" s="30"/>
      <c r="R125" s="30"/>
      <c r="S125" s="30"/>
      <c r="T125" s="31"/>
    </row>
    <row r="126" spans="1:20" x14ac:dyDescent="0.3">
      <c r="A126">
        <v>8</v>
      </c>
      <c r="B126">
        <v>116</v>
      </c>
      <c r="C126" s="46" t="s">
        <v>25</v>
      </c>
      <c r="D126" s="52">
        <v>403</v>
      </c>
      <c r="E126">
        <v>221</v>
      </c>
      <c r="F126" s="2">
        <v>94</v>
      </c>
      <c r="J126" s="4"/>
      <c r="L126" s="5">
        <v>116</v>
      </c>
      <c r="M126" s="46" t="s">
        <v>25</v>
      </c>
      <c r="N126" s="59">
        <v>436</v>
      </c>
      <c r="O126">
        <v>268</v>
      </c>
      <c r="P126" s="3">
        <v>52</v>
      </c>
      <c r="T126" s="4"/>
    </row>
    <row r="127" spans="1:20" x14ac:dyDescent="0.3">
      <c r="A127">
        <v>8</v>
      </c>
      <c r="B127" s="32">
        <v>122</v>
      </c>
      <c r="C127" s="56" t="s">
        <v>25</v>
      </c>
      <c r="D127" s="53">
        <v>404</v>
      </c>
      <c r="E127" s="3">
        <v>222</v>
      </c>
      <c r="F127" s="29">
        <v>10</v>
      </c>
      <c r="G127" s="32">
        <v>12</v>
      </c>
      <c r="H127" s="32">
        <v>37</v>
      </c>
      <c r="I127" s="32">
        <v>76</v>
      </c>
      <c r="J127" s="31"/>
      <c r="L127" s="29">
        <v>122</v>
      </c>
      <c r="M127" s="56" t="s">
        <v>25</v>
      </c>
      <c r="N127" s="60">
        <v>437</v>
      </c>
      <c r="O127" s="3">
        <v>269</v>
      </c>
      <c r="P127" s="29">
        <v>11</v>
      </c>
      <c r="Q127" s="32">
        <v>16</v>
      </c>
      <c r="R127" s="3">
        <v>52</v>
      </c>
      <c r="S127" s="30"/>
      <c r="T127" s="31"/>
    </row>
    <row r="128" spans="1:20" x14ac:dyDescent="0.3">
      <c r="A128">
        <v>8</v>
      </c>
      <c r="B128" s="73">
        <v>128</v>
      </c>
      <c r="C128" s="35" t="s">
        <v>25</v>
      </c>
      <c r="D128" s="74">
        <v>405</v>
      </c>
      <c r="E128" s="73">
        <v>223</v>
      </c>
      <c r="F128" s="81">
        <v>14</v>
      </c>
      <c r="G128" s="79">
        <v>32</v>
      </c>
      <c r="H128" s="79">
        <v>52</v>
      </c>
      <c r="I128" s="79">
        <v>76</v>
      </c>
      <c r="J128" s="85"/>
      <c r="L128" s="35">
        <v>128</v>
      </c>
      <c r="M128" s="35" t="s">
        <v>25</v>
      </c>
      <c r="N128" s="75">
        <v>438</v>
      </c>
      <c r="O128" s="73">
        <v>270</v>
      </c>
      <c r="P128" s="2">
        <v>17</v>
      </c>
      <c r="Q128" s="3">
        <v>33</v>
      </c>
      <c r="R128" s="3">
        <v>52</v>
      </c>
      <c r="T128" s="4"/>
    </row>
    <row r="129" spans="1:20" x14ac:dyDescent="0.3">
      <c r="A129">
        <v>8</v>
      </c>
      <c r="B129">
        <v>134</v>
      </c>
      <c r="C129" s="46" t="s">
        <v>25</v>
      </c>
      <c r="D129" s="52">
        <v>406</v>
      </c>
      <c r="E129">
        <v>224</v>
      </c>
      <c r="F129" s="2">
        <v>14</v>
      </c>
      <c r="G129" s="3">
        <v>32</v>
      </c>
      <c r="H129" s="3">
        <v>52</v>
      </c>
      <c r="I129" s="3">
        <v>76</v>
      </c>
      <c r="J129" s="4"/>
      <c r="L129" s="5">
        <v>134</v>
      </c>
      <c r="M129" s="46" t="s">
        <v>25</v>
      </c>
      <c r="N129" s="59">
        <v>439</v>
      </c>
      <c r="O129">
        <v>271</v>
      </c>
      <c r="P129" s="2">
        <v>17</v>
      </c>
      <c r="Q129" s="3">
        <v>37</v>
      </c>
      <c r="R129" s="3">
        <v>52</v>
      </c>
      <c r="T129" s="4"/>
    </row>
    <row r="130" spans="1:20" x14ac:dyDescent="0.3">
      <c r="A130">
        <v>8</v>
      </c>
      <c r="B130" s="82">
        <v>140</v>
      </c>
      <c r="C130" s="81" t="s">
        <v>25</v>
      </c>
      <c r="D130" s="77">
        <v>407</v>
      </c>
      <c r="E130" s="79">
        <v>225</v>
      </c>
      <c r="F130" s="80">
        <v>10</v>
      </c>
      <c r="G130" s="82">
        <v>12</v>
      </c>
      <c r="H130" s="82">
        <v>53</v>
      </c>
      <c r="I130" s="82">
        <v>76</v>
      </c>
      <c r="J130" s="86"/>
      <c r="K130" s="30"/>
      <c r="L130" s="80">
        <v>140</v>
      </c>
      <c r="M130" s="81" t="s">
        <v>25</v>
      </c>
      <c r="N130" s="78">
        <v>440</v>
      </c>
      <c r="O130" s="79">
        <v>272</v>
      </c>
      <c r="P130" s="29">
        <v>11</v>
      </c>
      <c r="Q130" s="32">
        <v>16</v>
      </c>
      <c r="R130" s="3">
        <v>52</v>
      </c>
      <c r="S130" s="30"/>
      <c r="T130" s="31"/>
    </row>
    <row r="131" spans="1:20" x14ac:dyDescent="0.3">
      <c r="A131">
        <v>8</v>
      </c>
      <c r="B131" s="82">
        <v>146</v>
      </c>
      <c r="C131" s="81" t="s">
        <v>25</v>
      </c>
      <c r="D131" s="77">
        <v>408</v>
      </c>
      <c r="E131" s="79">
        <v>226</v>
      </c>
      <c r="F131" s="80">
        <v>14</v>
      </c>
      <c r="G131" s="82">
        <v>23</v>
      </c>
      <c r="H131" s="82">
        <v>53</v>
      </c>
      <c r="I131" s="82">
        <v>76</v>
      </c>
      <c r="J131" s="86"/>
      <c r="L131" s="80">
        <v>146</v>
      </c>
      <c r="M131" s="81" t="s">
        <v>25</v>
      </c>
      <c r="N131" s="78">
        <v>441</v>
      </c>
      <c r="O131" s="79">
        <v>273</v>
      </c>
      <c r="P131" s="29">
        <v>17</v>
      </c>
      <c r="Q131" s="32">
        <v>29</v>
      </c>
      <c r="R131" s="3">
        <v>52</v>
      </c>
      <c r="S131" s="30"/>
      <c r="T131" s="31"/>
    </row>
    <row r="132" spans="1:20" x14ac:dyDescent="0.3">
      <c r="A132">
        <v>8</v>
      </c>
      <c r="B132">
        <v>152</v>
      </c>
      <c r="C132" s="46" t="s">
        <v>25</v>
      </c>
      <c r="D132" s="52">
        <v>409</v>
      </c>
      <c r="E132">
        <v>227</v>
      </c>
      <c r="F132" s="2">
        <v>14</v>
      </c>
      <c r="G132" s="32">
        <v>33</v>
      </c>
      <c r="H132" s="3">
        <v>51</v>
      </c>
      <c r="I132" s="32">
        <v>76</v>
      </c>
      <c r="J132" s="4"/>
      <c r="K132" s="30"/>
      <c r="L132" s="5">
        <v>152</v>
      </c>
      <c r="M132" s="46" t="s">
        <v>25</v>
      </c>
      <c r="N132" s="59">
        <v>442</v>
      </c>
      <c r="O132">
        <v>274</v>
      </c>
      <c r="P132" s="2">
        <v>17</v>
      </c>
      <c r="Q132" s="32">
        <v>29</v>
      </c>
      <c r="R132" s="3">
        <v>53</v>
      </c>
      <c r="S132" s="30"/>
      <c r="T132" s="31"/>
    </row>
    <row r="133" spans="1:20" x14ac:dyDescent="0.3">
      <c r="A133">
        <v>8</v>
      </c>
      <c r="B133" s="32">
        <v>158</v>
      </c>
      <c r="C133" s="56" t="s">
        <v>25</v>
      </c>
      <c r="D133" s="53">
        <v>410</v>
      </c>
      <c r="E133" s="3">
        <v>228</v>
      </c>
      <c r="F133" s="29">
        <v>10</v>
      </c>
      <c r="G133" s="32">
        <v>12</v>
      </c>
      <c r="H133" s="32">
        <v>51</v>
      </c>
      <c r="I133" s="30"/>
      <c r="J133" s="31"/>
      <c r="L133" s="29">
        <v>158</v>
      </c>
      <c r="M133" s="56" t="s">
        <v>25</v>
      </c>
      <c r="N133" s="60">
        <v>443</v>
      </c>
      <c r="O133" s="3">
        <v>275</v>
      </c>
      <c r="P133" s="29">
        <v>11</v>
      </c>
      <c r="Q133" s="32">
        <v>29</v>
      </c>
      <c r="R133" s="32">
        <v>53</v>
      </c>
      <c r="S133" s="30"/>
      <c r="T133" s="31"/>
    </row>
    <row r="134" spans="1:20" x14ac:dyDescent="0.3">
      <c r="A134">
        <v>8</v>
      </c>
      <c r="B134" s="73">
        <v>164</v>
      </c>
      <c r="C134" s="35" t="s">
        <v>25</v>
      </c>
      <c r="D134" s="74">
        <v>411</v>
      </c>
      <c r="E134" s="73">
        <v>229</v>
      </c>
      <c r="F134" s="81">
        <v>18</v>
      </c>
      <c r="G134" s="79">
        <v>28</v>
      </c>
      <c r="H134" s="79">
        <v>51</v>
      </c>
      <c r="I134" s="79">
        <v>66</v>
      </c>
      <c r="J134" s="85"/>
      <c r="L134" s="35">
        <v>164</v>
      </c>
      <c r="M134" s="35" t="s">
        <v>25</v>
      </c>
      <c r="N134" s="75">
        <v>444</v>
      </c>
      <c r="O134" s="73">
        <v>276</v>
      </c>
      <c r="P134" s="2">
        <v>14</v>
      </c>
      <c r="Q134" s="32">
        <v>29</v>
      </c>
      <c r="R134" s="3">
        <v>53</v>
      </c>
      <c r="T134" s="4"/>
    </row>
    <row r="135" spans="1:20" x14ac:dyDescent="0.3">
      <c r="A135">
        <v>8</v>
      </c>
      <c r="B135">
        <v>170</v>
      </c>
      <c r="C135" s="46" t="s">
        <v>25</v>
      </c>
      <c r="D135" s="52">
        <v>412</v>
      </c>
      <c r="E135">
        <v>230</v>
      </c>
      <c r="F135" s="2">
        <v>18</v>
      </c>
      <c r="G135" s="3">
        <v>28</v>
      </c>
      <c r="H135" s="3">
        <v>51</v>
      </c>
      <c r="I135" s="3">
        <v>66</v>
      </c>
      <c r="J135" s="4"/>
      <c r="L135" s="5">
        <v>170</v>
      </c>
      <c r="M135" s="46" t="s">
        <v>25</v>
      </c>
      <c r="N135" s="59">
        <v>445</v>
      </c>
      <c r="O135">
        <v>277</v>
      </c>
      <c r="P135" s="2">
        <v>14</v>
      </c>
      <c r="Q135" s="32">
        <v>31</v>
      </c>
      <c r="R135" s="3">
        <v>53</v>
      </c>
      <c r="T135" s="4"/>
    </row>
    <row r="136" spans="1:20" x14ac:dyDescent="0.3">
      <c r="A136">
        <v>8</v>
      </c>
      <c r="B136">
        <v>176</v>
      </c>
      <c r="C136" s="46" t="s">
        <v>25</v>
      </c>
      <c r="D136" s="52">
        <v>413</v>
      </c>
      <c r="E136">
        <v>231</v>
      </c>
      <c r="F136" s="2">
        <v>18</v>
      </c>
      <c r="G136" s="3">
        <v>28</v>
      </c>
      <c r="H136" s="3">
        <v>41</v>
      </c>
      <c r="I136" s="3">
        <v>59</v>
      </c>
      <c r="J136" s="4"/>
      <c r="L136" s="5">
        <v>176</v>
      </c>
      <c r="M136" s="46" t="s">
        <v>25</v>
      </c>
      <c r="N136" s="59">
        <v>446</v>
      </c>
      <c r="O136">
        <v>278</v>
      </c>
      <c r="P136" s="2">
        <v>19</v>
      </c>
      <c r="Q136" s="32">
        <v>31</v>
      </c>
      <c r="R136" s="3">
        <v>41</v>
      </c>
      <c r="T136" s="4"/>
    </row>
    <row r="137" spans="1:20" x14ac:dyDescent="0.3">
      <c r="A137">
        <v>8</v>
      </c>
      <c r="B137">
        <v>182</v>
      </c>
      <c r="C137" s="46" t="s">
        <v>25</v>
      </c>
      <c r="D137" s="52">
        <v>414</v>
      </c>
      <c r="E137">
        <v>232</v>
      </c>
      <c r="F137" s="2">
        <v>18</v>
      </c>
      <c r="G137" s="3">
        <v>28</v>
      </c>
      <c r="H137" s="3">
        <v>42</v>
      </c>
      <c r="I137" s="3">
        <v>59</v>
      </c>
      <c r="J137" s="4"/>
      <c r="K137" s="30"/>
      <c r="L137" s="5">
        <v>182</v>
      </c>
      <c r="M137" s="46" t="s">
        <v>25</v>
      </c>
      <c r="N137" s="59">
        <v>447</v>
      </c>
      <c r="O137">
        <v>279</v>
      </c>
      <c r="P137" s="2">
        <v>19</v>
      </c>
      <c r="Q137" s="32">
        <v>31</v>
      </c>
      <c r="R137" s="3">
        <v>42</v>
      </c>
      <c r="T137" s="4"/>
    </row>
    <row r="138" spans="1:20" x14ac:dyDescent="0.3">
      <c r="A138">
        <v>8</v>
      </c>
      <c r="B138" s="73">
        <v>188</v>
      </c>
      <c r="C138" s="35" t="s">
        <v>25</v>
      </c>
      <c r="D138" s="74">
        <v>415</v>
      </c>
      <c r="E138" s="73">
        <v>233</v>
      </c>
      <c r="F138" s="81">
        <v>33</v>
      </c>
      <c r="G138" s="79">
        <v>37</v>
      </c>
      <c r="H138" s="79">
        <v>41</v>
      </c>
      <c r="I138" s="79">
        <v>59</v>
      </c>
      <c r="J138" s="87">
        <v>75</v>
      </c>
      <c r="L138" s="35">
        <v>188</v>
      </c>
      <c r="M138" s="35" t="s">
        <v>25</v>
      </c>
      <c r="N138" s="75">
        <v>448</v>
      </c>
      <c r="O138" s="73">
        <v>280</v>
      </c>
      <c r="P138" s="2">
        <v>33</v>
      </c>
      <c r="Q138" s="32">
        <v>37</v>
      </c>
      <c r="R138" s="3">
        <v>41</v>
      </c>
      <c r="T138" s="4"/>
    </row>
    <row r="139" spans="1:20" x14ac:dyDescent="0.3">
      <c r="A139">
        <v>8</v>
      </c>
      <c r="B139" s="82">
        <v>194</v>
      </c>
      <c r="C139" s="81" t="s">
        <v>25</v>
      </c>
      <c r="D139" s="77">
        <v>416</v>
      </c>
      <c r="E139" s="79">
        <v>234</v>
      </c>
      <c r="F139" s="80">
        <v>10</v>
      </c>
      <c r="G139" s="82">
        <v>12</v>
      </c>
      <c r="H139" s="82">
        <v>42</v>
      </c>
      <c r="I139" s="82">
        <v>59</v>
      </c>
      <c r="J139" s="88">
        <v>75</v>
      </c>
      <c r="L139" s="80">
        <v>194</v>
      </c>
      <c r="M139" s="81" t="s">
        <v>25</v>
      </c>
      <c r="N139" s="78">
        <v>449</v>
      </c>
      <c r="O139" s="79">
        <v>281</v>
      </c>
      <c r="P139" s="29">
        <v>11</v>
      </c>
      <c r="Q139" s="32">
        <v>31</v>
      </c>
      <c r="R139" s="32">
        <v>42</v>
      </c>
      <c r="S139" s="30"/>
      <c r="T139" s="31"/>
    </row>
    <row r="140" spans="1:20" x14ac:dyDescent="0.3">
      <c r="A140">
        <v>8</v>
      </c>
      <c r="B140">
        <v>200</v>
      </c>
      <c r="C140" s="46" t="s">
        <v>25</v>
      </c>
      <c r="D140" s="52">
        <v>417</v>
      </c>
      <c r="E140">
        <v>235</v>
      </c>
      <c r="F140" s="2">
        <v>98</v>
      </c>
      <c r="G140" s="3">
        <v>101</v>
      </c>
      <c r="H140" s="3">
        <v>111</v>
      </c>
      <c r="J140" s="4"/>
      <c r="L140" s="5">
        <v>200</v>
      </c>
      <c r="M140" s="46" t="s">
        <v>25</v>
      </c>
      <c r="N140" s="59">
        <v>450</v>
      </c>
      <c r="O140">
        <v>282</v>
      </c>
      <c r="P140" s="5"/>
      <c r="T140" s="4"/>
    </row>
    <row r="141" spans="1:20" x14ac:dyDescent="0.3">
      <c r="A141">
        <v>8</v>
      </c>
      <c r="B141" s="7">
        <v>206</v>
      </c>
      <c r="C141" s="47" t="s">
        <v>25</v>
      </c>
      <c r="D141" s="54">
        <v>418</v>
      </c>
      <c r="E141">
        <v>236</v>
      </c>
      <c r="F141" s="69">
        <v>98</v>
      </c>
      <c r="G141" s="18">
        <v>101</v>
      </c>
      <c r="H141" s="18">
        <v>111</v>
      </c>
      <c r="I141" s="7"/>
      <c r="J141" s="8"/>
      <c r="L141" s="6">
        <v>206</v>
      </c>
      <c r="M141" s="47" t="s">
        <v>25</v>
      </c>
      <c r="N141" s="61">
        <v>451</v>
      </c>
      <c r="O141">
        <v>283</v>
      </c>
      <c r="P141" s="6"/>
      <c r="Q141" s="7"/>
      <c r="R141" s="7"/>
      <c r="S141" s="7"/>
      <c r="T141" s="8"/>
    </row>
    <row r="144" spans="1:20" x14ac:dyDescent="0.3">
      <c r="B144" t="s">
        <v>40</v>
      </c>
      <c r="C144" t="s">
        <v>44</v>
      </c>
      <c r="D144" t="s">
        <v>43</v>
      </c>
      <c r="L144" t="s">
        <v>2</v>
      </c>
      <c r="M144" t="s">
        <v>45</v>
      </c>
      <c r="N144" t="s">
        <v>46</v>
      </c>
    </row>
    <row r="145" spans="2:12" x14ac:dyDescent="0.3">
      <c r="B145" t="s">
        <v>41</v>
      </c>
      <c r="L145" t="s">
        <v>41</v>
      </c>
    </row>
    <row r="146" spans="2:12" x14ac:dyDescent="0.3">
      <c r="B146">
        <v>125</v>
      </c>
      <c r="L146">
        <v>127</v>
      </c>
    </row>
    <row r="147" spans="2:12" x14ac:dyDescent="0.3">
      <c r="B147">
        <v>126</v>
      </c>
      <c r="L147">
        <v>128</v>
      </c>
    </row>
    <row r="149" spans="2:12" x14ac:dyDescent="0.3">
      <c r="B149" t="s">
        <v>42</v>
      </c>
      <c r="L149" t="s">
        <v>42</v>
      </c>
    </row>
    <row r="150" spans="2:12" x14ac:dyDescent="0.3">
      <c r="B150" t="str">
        <f ca="1">"3,1,"&amp;INDIRECT(D144&amp;B146)&amp;","&amp;INDIRECT(D144&amp;B147)&amp;",0,-1,NONE,NONE,SO MINISCAN "&amp;A141&amp;"KHZ STARTING ORDER "&amp;INDIRECT(C144&amp;B146)&amp;" &amp; "&amp;INDIRECT(C144&amp;B147)</f>
        <v>3,1,220,221,0,-1,NONE,NONE,SO MINISCAN 8KHZ STARTING ORDER 110 &amp; 116</v>
      </c>
      <c r="L150" t="str">
        <f ca="1">"3,1,"&amp;INDIRECT(N144&amp;L146)&amp;","&amp;INDIRECT(N144&amp;L147)&amp;",1,-1,NONE,NONE,LNO MINISCAN "&amp;A141&amp;"KHZ STARTING ORDER "&amp;INDIRECT(M144&amp;L146)&amp;" &amp; "&amp;INDIRECT(M144&amp;L147)</f>
        <v>3,1,269,270,1,-1,NONE,NONE,LNO MINISCAN 8KHZ STARTING ORDER 122 &amp; 128</v>
      </c>
    </row>
  </sheetData>
  <mergeCells count="9">
    <mergeCell ref="F10:J10"/>
    <mergeCell ref="F17:J17"/>
    <mergeCell ref="P17:T17"/>
    <mergeCell ref="F123:J123"/>
    <mergeCell ref="P123:T123"/>
    <mergeCell ref="F86:J86"/>
    <mergeCell ref="P86:T86"/>
    <mergeCell ref="F52:J52"/>
    <mergeCell ref="P52:T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Thomas</dc:creator>
  <cp:lastModifiedBy>Ian Thomas</cp:lastModifiedBy>
  <dcterms:created xsi:type="dcterms:W3CDTF">2018-08-27T06:08:35Z</dcterms:created>
  <dcterms:modified xsi:type="dcterms:W3CDTF">2026-10-05T11:09:36Z</dcterms:modified>
</cp:coreProperties>
</file>